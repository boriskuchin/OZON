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11206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9261\OneDrive\Desktop\Ozon\"/>
    </mc:Choice>
  </mc:AlternateContent>
  <bookViews>
    <workbookView xWindow="0" yWindow="0" windowWidth="23040" windowHeight="8940"/>
  </bookViews>
  <sheets>
    <sheet name="Blotter" sheetId="1" r:id="rId1"/>
    <sheet name="Static" sheetId="3" r:id="rId2"/>
    <sheet name="Settings" sheetId="2" r:id="rId3"/>
  </sheets>
  <functionGroups builtInGroupCount="19"/>
  <externalReferences>
    <externalReference r:id="rId4"/>
  </externalReferences>
  <calcPr calcId="162913" refMode="R1C1"/>
</workbook>
</file>

<file path=xl/calcChain.xml><?xml version="1.0" encoding="utf-8"?>
<calcChain xmlns="http://schemas.openxmlformats.org/spreadsheetml/2006/main">
  <c r="G14" i="3" l="1"/>
  <c r="G34" i="3"/>
  <c r="G6" i="3"/>
  <c r="G27" i="3"/>
  <c r="G17" i="3"/>
  <c r="G30" i="3"/>
  <c r="G26" i="3"/>
  <c r="G16" i="3"/>
  <c r="G15" i="3"/>
  <c r="G3" i="3"/>
  <c r="G35" i="3"/>
  <c r="G5" i="3"/>
  <c r="G31" i="3"/>
  <c r="G32" i="3"/>
  <c r="G12" i="3"/>
  <c r="G18" i="3"/>
  <c r="G21" i="3"/>
  <c r="G33" i="3"/>
  <c r="G22" i="3"/>
  <c r="G20" i="3"/>
  <c r="G24" i="3"/>
  <c r="G1" i="3"/>
  <c r="G7" i="3"/>
  <c r="G8" i="3"/>
  <c r="G13" i="3"/>
  <c r="G25" i="3"/>
  <c r="G10" i="3"/>
  <c r="G29" i="3"/>
  <c r="G9" i="3"/>
  <c r="G19" i="3"/>
  <c r="G11" i="3"/>
  <c r="G2" i="3"/>
  <c r="G23" i="3"/>
  <c r="G4" i="3"/>
  <c r="G28" i="3"/>
  <c r="L28" i="3" l="1"/>
  <c r="U28" i="3" s="1"/>
  <c r="L4" i="3"/>
  <c r="U4" i="3" s="1"/>
  <c r="L23" i="3"/>
  <c r="U23" i="3" s="1"/>
  <c r="L2" i="3"/>
  <c r="U2" i="3" s="1"/>
  <c r="L11" i="3"/>
  <c r="U11" i="3" s="1"/>
  <c r="L19" i="3"/>
  <c r="U19" i="3" s="1"/>
  <c r="L9" i="3"/>
  <c r="U9" i="3" s="1"/>
  <c r="L29" i="3"/>
  <c r="U29" i="3" s="1"/>
  <c r="L10" i="3"/>
  <c r="U10" i="3" s="1"/>
  <c r="L25" i="3"/>
  <c r="U25" i="3" s="1"/>
  <c r="L13" i="3"/>
  <c r="U13" i="3" s="1"/>
  <c r="L8" i="3"/>
  <c r="U8" i="3" s="1"/>
  <c r="L7" i="3"/>
  <c r="U7" i="3" s="1"/>
  <c r="L1" i="3"/>
  <c r="U1" i="3" s="1"/>
  <c r="L24" i="3"/>
  <c r="U24" i="3" s="1"/>
  <c r="L20" i="3"/>
  <c r="U20" i="3" s="1"/>
  <c r="L22" i="3"/>
  <c r="U22" i="3" s="1"/>
  <c r="L33" i="3"/>
  <c r="U33" i="3" s="1"/>
  <c r="L21" i="3"/>
  <c r="U21" i="3" s="1"/>
  <c r="L18" i="3"/>
  <c r="U18" i="3" s="1"/>
  <c r="L12" i="3"/>
  <c r="U12" i="3" s="1"/>
  <c r="L32" i="3"/>
  <c r="U32" i="3" s="1"/>
  <c r="L31" i="3"/>
  <c r="U31" i="3" s="1"/>
  <c r="L5" i="3"/>
  <c r="U5" i="3" s="1"/>
  <c r="L35" i="3"/>
  <c r="U35" i="3" s="1"/>
  <c r="L3" i="3"/>
  <c r="U3" i="3" s="1"/>
  <c r="L15" i="3"/>
  <c r="U15" i="3" s="1"/>
  <c r="L16" i="3"/>
  <c r="U16" i="3" s="1"/>
  <c r="L26" i="3"/>
  <c r="U26" i="3" s="1"/>
  <c r="L30" i="3"/>
  <c r="U30" i="3" s="1"/>
  <c r="L17" i="3"/>
  <c r="U17" i="3" s="1"/>
  <c r="L27" i="3"/>
  <c r="U27" i="3" s="1"/>
  <c r="L6" i="3"/>
  <c r="U6" i="3" s="1"/>
  <c r="L34" i="3"/>
  <c r="U34" i="3" s="1"/>
  <c r="L14" i="3"/>
  <c r="U14" i="3" s="1"/>
</calcChain>
</file>

<file path=xl/sharedStrings.xml><?xml version="1.0" encoding="utf-8"?>
<sst xmlns="http://schemas.openxmlformats.org/spreadsheetml/2006/main" count="231" uniqueCount="103">
  <si>
    <t>NN</t>
  </si>
  <si>
    <t>Клиент</t>
  </si>
  <si>
    <t>ИНН</t>
  </si>
  <si>
    <t>Клиенты</t>
  </si>
  <si>
    <t>Client 1</t>
  </si>
  <si>
    <t>Client 2</t>
  </si>
  <si>
    <t>Client 3</t>
  </si>
  <si>
    <t>Client 4</t>
  </si>
  <si>
    <t>Client 5</t>
  </si>
  <si>
    <t>Client 6</t>
  </si>
  <si>
    <t>Client 7</t>
  </si>
  <si>
    <t>Client 8</t>
  </si>
  <si>
    <t>Client 9</t>
  </si>
  <si>
    <t>Таблица размеров</t>
  </si>
  <si>
    <t>Таблица цветов</t>
  </si>
  <si>
    <t>Синий</t>
  </si>
  <si>
    <t>Красный</t>
  </si>
  <si>
    <t>Зеленый</t>
  </si>
  <si>
    <t>S</t>
  </si>
  <si>
    <t>M</t>
  </si>
  <si>
    <t>L</t>
  </si>
  <si>
    <t>Номер поставки</t>
  </si>
  <si>
    <t>Дата поставки</t>
  </si>
  <si>
    <t>Артикул</t>
  </si>
  <si>
    <t>Наименование</t>
  </si>
  <si>
    <t>Ссылка</t>
  </si>
  <si>
    <t>Количество</t>
  </si>
  <si>
    <t>Размер</t>
  </si>
  <si>
    <t>Цвет</t>
  </si>
  <si>
    <t>Цена за ед, CNY</t>
  </si>
  <si>
    <t>Цена за ед, RUB</t>
  </si>
  <si>
    <t>Цена авиадоставки 1 кг, USD</t>
  </si>
  <si>
    <t>Вес 1 ед. товара, кг</t>
  </si>
  <si>
    <t>Курс CNY/RUB</t>
  </si>
  <si>
    <t>Курс USD/RUB</t>
  </si>
  <si>
    <t>Себестоимость 1 товара RUB</t>
  </si>
  <si>
    <t>Себестоимость партии товара RUB</t>
  </si>
  <si>
    <t>Слонявы</t>
  </si>
  <si>
    <t>Слюнявый</t>
  </si>
  <si>
    <t>Итого стоимость товара, RUB</t>
  </si>
  <si>
    <t>Фотограф за партию, RUB</t>
  </si>
  <si>
    <t>Доставка по Китаю за партию, CNY</t>
  </si>
  <si>
    <t>Упаковка за портию, RUB</t>
  </si>
  <si>
    <t>Комиссия китайца, %%</t>
  </si>
  <si>
    <t>Цена доставки по Мск за партию, RUB</t>
  </si>
  <si>
    <t>Страховка груза за партию, USD</t>
  </si>
  <si>
    <t>Упаковка груза за партию, USD</t>
  </si>
  <si>
    <t>Прочие расходы за партию, RUB</t>
  </si>
  <si>
    <t>Доставка по Китаю за 1 ед., RUB</t>
  </si>
  <si>
    <t>Авиадоставка, страховка, упаковка за 1 ед., RUB</t>
  </si>
  <si>
    <t>Авиадоставка, страховка, упаковка за партию, RUB</t>
  </si>
  <si>
    <t>Комиссия китайца за 1 ед., RUB</t>
  </si>
  <si>
    <t>Комиссия китайца за партию, RUB</t>
  </si>
  <si>
    <t>Упаковка, фотограф, прочие расходы за 1 ед., RUB</t>
  </si>
  <si>
    <t>Упаковка, фотограф, прочие расходы за партию, RUB</t>
  </si>
  <si>
    <t>Доставка по москве за 1 ед., RUB</t>
  </si>
  <si>
    <t>Доставка по Китаю за партию, RUB</t>
  </si>
  <si>
    <t>Номер_поставки</t>
  </si>
  <si>
    <t>Дата_поставки</t>
  </si>
  <si>
    <t>Курс_CNY/RUB</t>
  </si>
  <si>
    <t>Курс_USD/RUB</t>
  </si>
  <si>
    <t>Себестоимость_1_товара_RUB</t>
  </si>
  <si>
    <t>Себестоимость_партии_товара_RUB</t>
  </si>
  <si>
    <t>Цена_за_ед_CNY</t>
  </si>
  <si>
    <t>Цена_за_ед_RUB</t>
  </si>
  <si>
    <t>Доставка_по_Китаю_за_партию_CNY</t>
  </si>
  <si>
    <t>Цена_авиадоставки_1_кг_USD</t>
  </si>
  <si>
    <t>Вес_1_ед_товара_кг</t>
  </si>
  <si>
    <t>Фотограф_за_партию_RUB</t>
  </si>
  <si>
    <t>Упаковка_за_портию_RUB</t>
  </si>
  <si>
    <t>Комиссия_китайца_%%</t>
  </si>
  <si>
    <t>Цена_доставки_по_Мск_за_партию_RUB</t>
  </si>
  <si>
    <t>Страховка_груза_за_партию_USD</t>
  </si>
  <si>
    <t>Упаковка_груза_за_партию_USD</t>
  </si>
  <si>
    <t>Прочие_расходы_за_партию_RUB</t>
  </si>
  <si>
    <t>Итого_стоимость_товара_RUB</t>
  </si>
  <si>
    <t>Доставка_по_Китаю_за_1_ед_RUB</t>
  </si>
  <si>
    <t>Доставка_по_Китаю_за_партию_RUB</t>
  </si>
  <si>
    <t>Авиадоставка_страховка_упаковка_за_1_ед_RUB</t>
  </si>
  <si>
    <t>Авиадоставка_страховка_упаковка_за_партию_RUB</t>
  </si>
  <si>
    <t>Комиссия_китайца_за_1_ед_RUB</t>
  </si>
  <si>
    <t>Комиссия_китайца_за_партию_RUB</t>
  </si>
  <si>
    <t>Упаковка_фотограф_прочие_расходы_за_1_ед_RUB</t>
  </si>
  <si>
    <t>Упаковка_фотограф_прочие_расходы_за_партию_RUB</t>
  </si>
  <si>
    <t>Доставка_по_москве_за_1_ед_RUB</t>
  </si>
  <si>
    <t>col_</t>
  </si>
  <si>
    <t xml:space="preserve">Cells(iLastRow, </t>
  </si>
  <si>
    <t>)</t>
  </si>
  <si>
    <t>11/11/1111</t>
  </si>
  <si>
    <t>товар</t>
  </si>
  <si>
    <t>http</t>
  </si>
  <si>
    <t xml:space="preserve">       1 000,00</t>
  </si>
  <si>
    <t xml:space="preserve">        10,00</t>
  </si>
  <si>
    <t xml:space="preserve">        100,00</t>
  </si>
  <si>
    <t xml:space="preserve">        145,00</t>
  </si>
  <si>
    <t xml:space="preserve">       1 450,00</t>
  </si>
  <si>
    <t xml:space="preserve">        5,50</t>
  </si>
  <si>
    <t xml:space="preserve">        55,00</t>
  </si>
  <si>
    <t xml:space="preserve">        20,50</t>
  </si>
  <si>
    <t xml:space="preserve">        205,00</t>
  </si>
  <si>
    <t xml:space="preserve">        0,70</t>
  </si>
  <si>
    <t xml:space="preserve">        281,70</t>
  </si>
  <si>
    <t xml:space="preserve">       2 817,00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</si>
</sst>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-* #,##0.00_р_._-;\-* #,##0.00_р_._-;_-* &quot;-&quot;??_р_._-;_-@_-"/>
    <numFmt numFmtId="165" formatCode="#0"/>
    <numFmt numFmtId="166" formatCode="0.000000"/>
    <numFmt numFmtId="167" formatCode="#,##0.0000"/>
  </numFmts>
  <fonts count="1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2"/>
      <charset val="204"/>
    </font>
    <font>
      <b/>
      <sz val="12"/>
      <name val="Tahoma"/>
      <family val="2"/>
    </font>
    <font>
      <b/>
      <sz val="12"/>
      <color theme="1"/>
      <name val="Arial"/>
      <family val="2"/>
      <charset val="204"/>
    </font>
    <font>
      <b/>
      <sz val="12"/>
      <color rgb="FF000000"/>
      <name val="Arial"/>
      <family val="2"/>
      <charset val="204"/>
    </font>
    <font>
      <b/>
      <sz val="12"/>
      <name val="Arial Cyr"/>
      <charset val="204"/>
    </font>
    <font>
      <u/>
      <sz val="10"/>
      <color theme="10"/>
      <name val="Arial Cyr"/>
      <charset val="204"/>
    </font>
    <font>
      <b/>
      <sz val="10"/>
      <color theme="0"/>
      <name val="Arial Cyr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3" fillId="0" borderId="0"/>
    <xf numFmtId="0" fontId="8" fillId="0" borderId="0" applyNumberFormat="0" applyFill="0" applyBorder="0" applyAlignment="0" applyProtection="0"/>
  </cellStyleXfs>
  <cellXfs count="27">
    <xf numFmtId="0" fontId="0" fillId="0" borderId="0" xfId="0"/>
    <xf numFmtId="0" fontId="4" fillId="3" borderId="0" xfId="0" applyFont="1" applyFill="1" applyBorder="1" applyAlignment="1">
      <alignment vertical="center"/>
    </xf>
    <xf numFmtId="0" fontId="5" fillId="2" borderId="1" xfId="1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3" borderId="0" xfId="0" applyFont="1" applyFill="1"/>
    <xf numFmtId="0" fontId="7" fillId="0" borderId="0" xfId="0" applyFont="1" applyFill="1"/>
    <xf numFmtId="0" fontId="7" fillId="0" borderId="0" xfId="0" applyFont="1"/>
    <xf numFmtId="4" fontId="7" fillId="0" borderId="1" xfId="0" applyNumberFormat="1" applyFont="1" applyFill="1" applyBorder="1" applyAlignment="1">
      <alignment wrapText="1"/>
    </xf>
    <xf numFmtId="4" fontId="7" fillId="0" borderId="0" xfId="0" applyNumberFormat="1" applyFont="1" applyFill="1" applyAlignment="1">
      <alignment wrapText="1"/>
    </xf>
    <xf numFmtId="165" fontId="7" fillId="0" borderId="1" xfId="0" applyNumberFormat="1" applyFont="1" applyFill="1" applyBorder="1"/>
    <xf numFmtId="165" fontId="7" fillId="0" borderId="0" xfId="0" applyNumberFormat="1" applyFont="1" applyFill="1"/>
    <xf numFmtId="4" fontId="7" fillId="3" borderId="0" xfId="0" applyNumberFormat="1" applyFont="1" applyFill="1"/>
    <xf numFmtId="4" fontId="4" fillId="3" borderId="0" xfId="0" applyNumberFormat="1" applyFont="1" applyFill="1" applyBorder="1" applyAlignment="1">
      <alignment vertical="center"/>
    </xf>
    <xf numFmtId="4" fontId="5" fillId="2" borderId="1" xfId="0" applyNumberFormat="1" applyFont="1" applyFill="1" applyBorder="1" applyAlignment="1">
      <alignment horizontal="center" vertical="center" wrapText="1"/>
    </xf>
    <xf numFmtId="4" fontId="7" fillId="0" borderId="0" xfId="0" applyNumberFormat="1" applyFont="1" applyFill="1"/>
    <xf numFmtId="166" fontId="7" fillId="3" borderId="0" xfId="0" applyNumberFormat="1" applyFont="1" applyFill="1"/>
    <xf numFmtId="166" fontId="4" fillId="3" borderId="0" xfId="0" applyNumberFormat="1" applyFont="1" applyFill="1" applyBorder="1" applyAlignment="1">
      <alignment vertical="center"/>
    </xf>
    <xf numFmtId="166" fontId="5" fillId="2" borderId="1" xfId="1" applyNumberFormat="1" applyFont="1" applyFill="1" applyBorder="1" applyAlignment="1">
      <alignment horizontal="center" vertical="center" wrapText="1"/>
    </xf>
    <xf numFmtId="166" fontId="7" fillId="0" borderId="0" xfId="0" applyNumberFormat="1" applyFont="1"/>
    <xf numFmtId="166" fontId="7" fillId="0" borderId="0" xfId="0" applyNumberFormat="1" applyFont="1" applyFill="1"/>
    <xf numFmtId="0" fontId="0" fillId="0" borderId="1" xfId="0" applyBorder="1"/>
    <xf numFmtId="0" fontId="9" fillId="4" borderId="1" xfId="0" applyFont="1" applyFill="1" applyBorder="1"/>
    <xf numFmtId="167" fontId="7" fillId="0" borderId="0" xfId="0" applyNumberFormat="1" applyFont="1" applyFill="1"/>
    <xf numFmtId="0" fontId="8" fillId="0" borderId="0" xfId="4" applyBorder="1"/>
    <xf numFmtId="0" fontId="0" fillId="0" borderId="0" xfId="0" applyBorder="1"/>
    <xf numFmtId="0" fontId="9" fillId="4" borderId="1" xfId="0" applyFont="1" applyFill="1" applyBorder="1" applyAlignment="1">
      <alignment horizontal="center"/>
    </xf>
  </cellXfs>
  <cellStyles count="5">
    <cellStyle name="Comma 2" xfId="2"/>
    <cellStyle name="Hyperlink" xfId="4" builtinId="8"/>
    <cellStyle name="Normal" xfId="0" builtinId="0"/>
    <cellStyle name="Normal 2" xfId="1"/>
    <cellStyle name="Normal 9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icrosoft%20Office\PLEX\PLEX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tkeys"/>
      <sheetName val="FLib"/>
    </sheetNames>
    <definedNames>
      <definedName name="Translit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otter">
    <tabColor rgb="FF00B050"/>
  </sheetPr>
  <dimension ref="A1:AL994"/>
  <sheetViews>
    <sheetView tabSelected="1" zoomScale="85" zoomScaleNormal="85" workbookViewId="0">
      <selection activeCell="E5" sqref="E5"/>
    </sheetView>
  </sheetViews>
  <sheetFormatPr defaultColWidth="41" defaultRowHeight="15.6" x14ac:dyDescent="0.3"/>
  <cols>
    <col min="1" max="1" width="4.33203125" style="6" bestFit="1" customWidth="1"/>
    <col min="2" max="2" width="18.88671875" style="6" bestFit="1" customWidth="1"/>
    <col min="3" max="3" width="16.6640625" style="7" bestFit="1" customWidth="1"/>
    <col min="4" max="4" width="10" style="7" bestFit="1" customWidth="1"/>
    <col min="5" max="5" width="28.21875" style="7" customWidth="1"/>
    <col min="6" max="6" width="42.44140625" style="7" customWidth="1"/>
    <col min="7" max="7" width="14" style="19" bestFit="1" customWidth="1"/>
    <col min="8" max="8" width="9" style="7" bestFit="1" customWidth="1"/>
    <col min="9" max="9" width="6.21875" style="7" bestFit="1" customWidth="1"/>
    <col min="10" max="10" width="18.88671875" style="7" bestFit="1" customWidth="1"/>
    <col min="11" max="11" width="19" style="6" bestFit="1" customWidth="1"/>
    <col min="12" max="12" width="39.77734375" style="6" bestFit="1" customWidth="1"/>
    <col min="13" max="13" width="33.21875" style="6" bestFit="1" customWidth="1"/>
    <col min="14" max="14" width="22.6640625" style="6" bestFit="1" customWidth="1"/>
    <col min="15" max="15" width="34.77734375" style="6" bestFit="1" customWidth="1"/>
    <col min="16" max="16" width="32.5546875" style="20" bestFit="1" customWidth="1"/>
    <col min="17" max="17" width="26.88671875" style="6" bestFit="1" customWidth="1"/>
    <col min="18" max="18" width="41" style="6"/>
    <col min="19" max="19" width="33.44140625" style="6" bestFit="1" customWidth="1"/>
    <col min="20" max="20" width="32.109375" style="6" bestFit="1" customWidth="1"/>
    <col min="21" max="21" width="25.88671875" style="6" bestFit="1" customWidth="1"/>
    <col min="22" max="22" width="16.77734375" style="15" bestFit="1" customWidth="1"/>
    <col min="23" max="23" width="16.88671875" style="6" bestFit="1" customWidth="1"/>
    <col min="24" max="24" width="21.5546875" style="6" customWidth="1"/>
    <col min="25" max="25" width="20.77734375" style="6" customWidth="1"/>
    <col min="26" max="26" width="26.5546875" style="6" customWidth="1"/>
    <col min="27" max="27" width="35.109375" style="6" customWidth="1"/>
    <col min="28" max="28" width="26.77734375" style="6" customWidth="1"/>
    <col min="29" max="29" width="16.88671875" style="6" customWidth="1"/>
    <col min="30" max="30" width="33.77734375" style="6" bestFit="1" customWidth="1"/>
    <col min="31" max="35" width="40.21875" style="23" bestFit="1" customWidth="1"/>
    <col min="36" max="16384" width="41" style="6"/>
  </cols>
  <sheetData>
    <row r="1" spans="1:38" s="5" customFormat="1" x14ac:dyDescent="0.3">
      <c r="G1" s="16"/>
      <c r="P1" s="16"/>
      <c r="R1" s="16"/>
      <c r="V1" s="12"/>
    </row>
    <row r="2" spans="1:38" s="5" customFormat="1" x14ac:dyDescent="0.3">
      <c r="B2" s="1"/>
      <c r="C2" s="1"/>
      <c r="D2" s="1"/>
      <c r="E2" s="1"/>
      <c r="F2" s="1"/>
      <c r="G2" s="17"/>
      <c r="H2" s="1"/>
      <c r="I2" s="1"/>
      <c r="J2" s="1"/>
      <c r="K2" s="1"/>
      <c r="L2" s="1"/>
      <c r="M2" s="1"/>
      <c r="N2" s="1"/>
      <c r="O2" s="1"/>
      <c r="P2" s="17"/>
      <c r="Q2" s="1"/>
      <c r="R2" s="1"/>
      <c r="S2" s="1"/>
      <c r="T2" s="1"/>
      <c r="U2" s="1"/>
      <c r="V2" s="13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1:38" ht="46.8" x14ac:dyDescent="0.3">
      <c r="A3" s="2" t="s">
        <v>0</v>
      </c>
      <c r="B3" s="2" t="s">
        <v>21</v>
      </c>
      <c r="C3" s="2" t="s">
        <v>22</v>
      </c>
      <c r="D3" s="2" t="s">
        <v>23</v>
      </c>
      <c r="E3" s="3" t="s">
        <v>24</v>
      </c>
      <c r="F3" s="3" t="s">
        <v>25</v>
      </c>
      <c r="G3" s="18" t="s">
        <v>26</v>
      </c>
      <c r="H3" s="2" t="s">
        <v>27</v>
      </c>
      <c r="I3" s="2" t="s">
        <v>28</v>
      </c>
      <c r="J3" s="4" t="s">
        <v>29</v>
      </c>
      <c r="K3" s="4" t="s">
        <v>30</v>
      </c>
      <c r="L3" s="3" t="s">
        <v>41</v>
      </c>
      <c r="M3" s="4" t="s">
        <v>31</v>
      </c>
      <c r="N3" s="3" t="s">
        <v>32</v>
      </c>
      <c r="O3" s="4" t="s">
        <v>40</v>
      </c>
      <c r="P3" s="4" t="s">
        <v>42</v>
      </c>
      <c r="Q3" s="3" t="s">
        <v>43</v>
      </c>
      <c r="R3" s="4" t="s">
        <v>44</v>
      </c>
      <c r="S3" s="4" t="s">
        <v>45</v>
      </c>
      <c r="T3" s="4" t="s">
        <v>46</v>
      </c>
      <c r="U3" s="3" t="s">
        <v>47</v>
      </c>
      <c r="V3" s="14" t="s">
        <v>33</v>
      </c>
      <c r="W3" s="14" t="s">
        <v>34</v>
      </c>
      <c r="X3" s="14" t="s">
        <v>39</v>
      </c>
      <c r="Y3" s="14" t="s">
        <v>48</v>
      </c>
      <c r="Z3" s="14" t="s">
        <v>56</v>
      </c>
      <c r="AA3" s="14" t="s">
        <v>49</v>
      </c>
      <c r="AB3" s="14" t="s">
        <v>50</v>
      </c>
      <c r="AC3" s="14" t="s">
        <v>51</v>
      </c>
      <c r="AD3" s="3" t="s">
        <v>52</v>
      </c>
      <c r="AE3" s="3" t="s">
        <v>53</v>
      </c>
      <c r="AF3" s="3" t="s">
        <v>54</v>
      </c>
      <c r="AG3" s="3" t="s">
        <v>55</v>
      </c>
      <c r="AH3" s="3" t="s">
        <v>35</v>
      </c>
      <c r="AI3" s="3" t="s">
        <v>36</v>
      </c>
    </row>
    <row r="4" spans="1:38" ht="31.2" x14ac:dyDescent="0.3">
      <c r="A4" s="10">
        <v>1</v>
      </c>
      <c r="B4" s="8">
        <v>1</v>
      </c>
      <c r="C4" s="8" t="s">
        <v>88</v>
      </c>
      <c r="D4" s="8">
        <v>1</v>
      </c>
      <c r="E4" s="8" t="s">
        <v>89</v>
      </c>
      <c r="F4" s="8" t="s">
        <v>90</v>
      </c>
      <c r="G4" s="8">
        <v>10</v>
      </c>
      <c r="H4" s="8" t="s">
        <v>18</v>
      </c>
      <c r="I4" s="8" t="s">
        <v>15</v>
      </c>
      <c r="J4" s="8">
        <v>5</v>
      </c>
      <c r="K4" s="8">
        <v>100</v>
      </c>
      <c r="L4" s="8">
        <v>5</v>
      </c>
      <c r="M4" s="8">
        <v>1</v>
      </c>
      <c r="N4" s="8">
        <v>6</v>
      </c>
      <c r="O4" s="8">
        <v>2</v>
      </c>
      <c r="P4" s="8">
        <v>3</v>
      </c>
      <c r="Q4" s="8">
        <v>5</v>
      </c>
      <c r="R4" s="8">
        <v>7</v>
      </c>
      <c r="S4" s="8">
        <v>11</v>
      </c>
      <c r="T4" s="8">
        <v>12</v>
      </c>
      <c r="U4" s="8">
        <v>200</v>
      </c>
      <c r="V4" s="8">
        <v>20</v>
      </c>
      <c r="W4" s="8">
        <v>50</v>
      </c>
      <c r="X4" s="8" t="s">
        <v>91</v>
      </c>
      <c r="Y4" s="8" t="s">
        <v>92</v>
      </c>
      <c r="Z4" s="8" t="s">
        <v>93</v>
      </c>
      <c r="AA4" s="8" t="s">
        <v>94</v>
      </c>
      <c r="AB4" s="8" t="s">
        <v>95</v>
      </c>
      <c r="AC4" s="8" t="s">
        <v>96</v>
      </c>
      <c r="AD4" s="8" t="s">
        <v>97</v>
      </c>
      <c r="AE4" s="8" t="s">
        <v>98</v>
      </c>
      <c r="AF4" s="8" t="s">
        <v>99</v>
      </c>
      <c r="AG4" s="8" t="s">
        <v>100</v>
      </c>
      <c r="AH4" s="8" t="s">
        <v>101</v>
      </c>
      <c r="AI4" s="8" t="s">
        <v>102</v>
      </c>
      <c r="AJ4" s="9"/>
      <c r="AK4" s="9"/>
      <c r="AL4" s="9"/>
    </row>
    <row r="5" spans="1:38" ht="31.2" x14ac:dyDescent="0.3">
      <c r="A5" s="10">
        <v>2</v>
      </c>
      <c r="B5" s="8">
        <v>1</v>
      </c>
      <c r="C5" s="8" t="s">
        <v>88</v>
      </c>
      <c r="D5" s="8">
        <v>1</v>
      </c>
      <c r="E5" s="8" t="s">
        <v>89</v>
      </c>
      <c r="F5" s="8" t="s">
        <v>90</v>
      </c>
      <c r="G5" s="8">
        <v>10</v>
      </c>
      <c r="H5" s="8" t="s">
        <v>18</v>
      </c>
      <c r="I5" s="8" t="s">
        <v>15</v>
      </c>
      <c r="J5" s="8">
        <v>5</v>
      </c>
      <c r="K5" s="8">
        <v>100</v>
      </c>
      <c r="L5" s="8">
        <v>5</v>
      </c>
      <c r="M5" s="8">
        <v>1</v>
      </c>
      <c r="N5" s="8">
        <v>6</v>
      </c>
      <c r="O5" s="8">
        <v>2</v>
      </c>
      <c r="P5" s="8">
        <v>3</v>
      </c>
      <c r="Q5" s="8">
        <v>5</v>
      </c>
      <c r="R5" s="8">
        <v>7</v>
      </c>
      <c r="S5" s="8">
        <v>11</v>
      </c>
      <c r="T5" s="8">
        <v>12</v>
      </c>
      <c r="U5" s="8">
        <v>200</v>
      </c>
      <c r="V5" s="8">
        <v>20</v>
      </c>
      <c r="W5" s="8">
        <v>50</v>
      </c>
      <c r="X5" s="8" t="s">
        <v>91</v>
      </c>
      <c r="Y5" s="8" t="s">
        <v>92</v>
      </c>
      <c r="Z5" s="8" t="s">
        <v>93</v>
      </c>
      <c r="AA5" s="8" t="s">
        <v>94</v>
      </c>
      <c r="AB5" s="8" t="s">
        <v>95</v>
      </c>
      <c r="AC5" s="8" t="s">
        <v>96</v>
      </c>
      <c r="AD5" s="8" t="s">
        <v>97</v>
      </c>
      <c r="AE5" s="8" t="s">
        <v>98</v>
      </c>
      <c r="AF5" s="8" t="s">
        <v>99</v>
      </c>
      <c r="AG5" s="8" t="s">
        <v>100</v>
      </c>
      <c r="AH5" s="8" t="s">
        <v>101</v>
      </c>
      <c r="AI5" s="8" t="s">
        <v>102</v>
      </c>
      <c r="AJ5" s="9"/>
      <c r="AK5" s="9"/>
      <c r="AL5" s="9"/>
    </row>
    <row r="6" spans="1:38" x14ac:dyDescent="0.3">
      <c r="A6" s="10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9"/>
      <c r="AK6" s="9"/>
      <c r="AL6" s="9"/>
    </row>
    <row r="7" spans="1:38" x14ac:dyDescent="0.3">
      <c r="A7" s="10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9"/>
      <c r="AK7" s="9"/>
      <c r="AL7" s="9"/>
    </row>
    <row r="8" spans="1:38" x14ac:dyDescent="0.3">
      <c r="A8" s="10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9"/>
      <c r="AK8" s="9"/>
      <c r="AL8" s="9"/>
    </row>
    <row r="9" spans="1:38" x14ac:dyDescent="0.3">
      <c r="A9" s="10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9"/>
      <c r="AK9" s="9"/>
      <c r="AL9" s="9"/>
    </row>
    <row r="10" spans="1:38" x14ac:dyDescent="0.3">
      <c r="A10" s="10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9"/>
      <c r="AK10" s="9"/>
      <c r="AL10" s="9"/>
    </row>
    <row r="11" spans="1:38" x14ac:dyDescent="0.3">
      <c r="A11" s="10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9"/>
      <c r="AK11" s="9"/>
      <c r="AL11" s="9"/>
    </row>
    <row r="12" spans="1:38" x14ac:dyDescent="0.3">
      <c r="A12" s="10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9"/>
      <c r="AK12" s="9"/>
      <c r="AL12" s="9"/>
    </row>
    <row r="13" spans="1:38" x14ac:dyDescent="0.3">
      <c r="A13" s="10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9"/>
      <c r="AK13" s="9"/>
      <c r="AL13" s="9"/>
    </row>
    <row r="14" spans="1:38" x14ac:dyDescent="0.3">
      <c r="A14" s="10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9"/>
      <c r="AK14" s="9"/>
      <c r="AL14" s="9"/>
    </row>
    <row r="15" spans="1:38" x14ac:dyDescent="0.3">
      <c r="A15" s="10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9"/>
      <c r="AK15" s="9"/>
      <c r="AL15" s="9"/>
    </row>
    <row r="16" spans="1:38" x14ac:dyDescent="0.3">
      <c r="A16" s="10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9"/>
      <c r="AK16" s="9"/>
      <c r="AL16" s="9"/>
    </row>
    <row r="17" spans="1:38" x14ac:dyDescent="0.3">
      <c r="A17" s="10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9"/>
      <c r="AK17" s="9"/>
      <c r="AL17" s="9"/>
    </row>
    <row r="18" spans="1:38" x14ac:dyDescent="0.3">
      <c r="A18" s="10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9"/>
      <c r="AK18" s="9"/>
      <c r="AL18" s="9"/>
    </row>
    <row r="19" spans="1:38" x14ac:dyDescent="0.3">
      <c r="A19" s="10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9"/>
      <c r="AK19" s="9"/>
      <c r="AL19" s="9"/>
    </row>
    <row r="20" spans="1:38" x14ac:dyDescent="0.3">
      <c r="A20" s="10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9"/>
      <c r="AK20" s="9"/>
      <c r="AL20" s="9"/>
    </row>
    <row r="21" spans="1:38" x14ac:dyDescent="0.3">
      <c r="A21" s="10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9"/>
      <c r="AK21" s="9"/>
      <c r="AL21" s="9"/>
    </row>
    <row r="22" spans="1:38" x14ac:dyDescent="0.3">
      <c r="A22" s="10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9"/>
      <c r="AK22" s="9"/>
      <c r="AL22" s="9"/>
    </row>
    <row r="23" spans="1:38" x14ac:dyDescent="0.3">
      <c r="A23" s="10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9"/>
      <c r="AK23" s="9"/>
      <c r="AL23" s="9"/>
    </row>
    <row r="24" spans="1:38" x14ac:dyDescent="0.3">
      <c r="A24" s="10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9"/>
      <c r="AK24" s="9"/>
      <c r="AL24" s="9"/>
    </row>
    <row r="25" spans="1:38" x14ac:dyDescent="0.3">
      <c r="A25" s="10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9"/>
      <c r="AK25" s="9"/>
      <c r="AL25" s="9"/>
    </row>
    <row r="26" spans="1:38" x14ac:dyDescent="0.3">
      <c r="A26" s="10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9"/>
      <c r="AK26" s="9"/>
      <c r="AL26" s="9"/>
    </row>
    <row r="27" spans="1:38" x14ac:dyDescent="0.3">
      <c r="A27" s="10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9"/>
      <c r="AK27" s="9"/>
      <c r="AL27" s="9"/>
    </row>
    <row r="28" spans="1:38" x14ac:dyDescent="0.3">
      <c r="A28" s="10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9"/>
      <c r="AK28" s="9"/>
      <c r="AL28" s="9"/>
    </row>
    <row r="29" spans="1:38" x14ac:dyDescent="0.3">
      <c r="A29" s="10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9"/>
      <c r="AK29" s="9"/>
      <c r="AL29" s="9"/>
    </row>
    <row r="30" spans="1:38" x14ac:dyDescent="0.3">
      <c r="A30" s="10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9"/>
      <c r="AK30" s="9"/>
      <c r="AL30" s="9"/>
    </row>
    <row r="31" spans="1:38" x14ac:dyDescent="0.3">
      <c r="A31" s="10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9"/>
      <c r="AK31" s="9"/>
      <c r="AL31" s="9"/>
    </row>
    <row r="32" spans="1:38" x14ac:dyDescent="0.3">
      <c r="A32" s="10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9"/>
      <c r="AK32" s="9"/>
      <c r="AL32" s="9"/>
    </row>
    <row r="33" spans="1:38" x14ac:dyDescent="0.3">
      <c r="A33" s="10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9"/>
      <c r="AK33" s="9"/>
      <c r="AL33" s="9"/>
    </row>
    <row r="34" spans="1:38" x14ac:dyDescent="0.3">
      <c r="A34" s="10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9"/>
      <c r="AK34" s="9"/>
      <c r="AL34" s="9"/>
    </row>
    <row r="35" spans="1:38" x14ac:dyDescent="0.3">
      <c r="A35" s="10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9"/>
      <c r="AK35" s="9"/>
      <c r="AL35" s="9"/>
    </row>
    <row r="36" spans="1:38" x14ac:dyDescent="0.3">
      <c r="A36" s="10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9"/>
      <c r="AK36" s="9"/>
      <c r="AL36" s="9"/>
    </row>
    <row r="37" spans="1:38" x14ac:dyDescent="0.3">
      <c r="A37" s="10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9"/>
      <c r="AK37" s="9"/>
      <c r="AL37" s="9"/>
    </row>
    <row r="38" spans="1:38" x14ac:dyDescent="0.3">
      <c r="A38" s="10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9"/>
      <c r="AK38" s="9"/>
      <c r="AL38" s="9"/>
    </row>
    <row r="39" spans="1:38" x14ac:dyDescent="0.3">
      <c r="A39" s="10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9"/>
      <c r="AK39" s="9"/>
      <c r="AL39" s="9"/>
    </row>
    <row r="40" spans="1:38" x14ac:dyDescent="0.3">
      <c r="A40" s="10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9"/>
      <c r="AK40" s="9"/>
      <c r="AL40" s="9"/>
    </row>
    <row r="41" spans="1:38" x14ac:dyDescent="0.3">
      <c r="A41" s="10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9"/>
      <c r="AK41" s="9"/>
      <c r="AL41" s="9"/>
    </row>
    <row r="42" spans="1:38" x14ac:dyDescent="0.3">
      <c r="A42" s="10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9"/>
      <c r="AK42" s="9"/>
      <c r="AL42" s="9"/>
    </row>
    <row r="43" spans="1:38" x14ac:dyDescent="0.3">
      <c r="A43" s="10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9"/>
      <c r="AK43" s="9"/>
      <c r="AL43" s="9"/>
    </row>
    <row r="44" spans="1:38" x14ac:dyDescent="0.3">
      <c r="A44" s="10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9"/>
      <c r="AK44" s="9"/>
      <c r="AL44" s="9"/>
    </row>
    <row r="45" spans="1:38" x14ac:dyDescent="0.3">
      <c r="A45" s="10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9"/>
      <c r="AK45" s="9"/>
      <c r="AL45" s="9"/>
    </row>
    <row r="46" spans="1:38" x14ac:dyDescent="0.3">
      <c r="A46" s="10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9"/>
      <c r="AK46" s="9"/>
      <c r="AL46" s="9"/>
    </row>
    <row r="47" spans="1:38" x14ac:dyDescent="0.3">
      <c r="A47" s="10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9"/>
      <c r="AK47" s="9"/>
      <c r="AL47" s="9"/>
    </row>
    <row r="48" spans="1:38" x14ac:dyDescent="0.3">
      <c r="A48" s="10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9"/>
      <c r="AK48" s="9"/>
      <c r="AL48" s="9"/>
    </row>
    <row r="49" spans="1:38" x14ac:dyDescent="0.3">
      <c r="A49" s="10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9"/>
      <c r="AK49" s="9"/>
      <c r="AL49" s="9"/>
    </row>
    <row r="50" spans="1:38" x14ac:dyDescent="0.3">
      <c r="A50" s="10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9"/>
      <c r="AK50" s="9"/>
      <c r="AL50" s="9"/>
    </row>
    <row r="51" spans="1:38" x14ac:dyDescent="0.3">
      <c r="A51" s="10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9"/>
      <c r="AK51" s="9"/>
      <c r="AL51" s="9"/>
    </row>
    <row r="52" spans="1:38" x14ac:dyDescent="0.3">
      <c r="A52" s="10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9"/>
      <c r="AK52" s="9"/>
      <c r="AL52" s="9"/>
    </row>
    <row r="53" spans="1:38" x14ac:dyDescent="0.3">
      <c r="A53" s="10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9"/>
      <c r="AK53" s="9"/>
      <c r="AL53" s="9"/>
    </row>
    <row r="54" spans="1:38" x14ac:dyDescent="0.3">
      <c r="A54" s="10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9"/>
      <c r="AK54" s="9"/>
      <c r="AL54" s="9"/>
    </row>
    <row r="55" spans="1:38" x14ac:dyDescent="0.3">
      <c r="A55" s="10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9"/>
      <c r="AK55" s="9"/>
      <c r="AL55" s="9"/>
    </row>
    <row r="56" spans="1:38" x14ac:dyDescent="0.3">
      <c r="A56" s="10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9"/>
      <c r="AK56" s="9"/>
      <c r="AL56" s="9"/>
    </row>
    <row r="57" spans="1:38" x14ac:dyDescent="0.3">
      <c r="A57" s="10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9"/>
      <c r="AK57" s="9"/>
      <c r="AL57" s="9"/>
    </row>
    <row r="58" spans="1:38" x14ac:dyDescent="0.3">
      <c r="A58" s="10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9"/>
      <c r="AK58" s="9"/>
      <c r="AL58" s="9"/>
    </row>
    <row r="59" spans="1:38" x14ac:dyDescent="0.3">
      <c r="A59" s="10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9"/>
      <c r="AK59" s="9"/>
      <c r="AL59" s="9"/>
    </row>
    <row r="60" spans="1:38" x14ac:dyDescent="0.3">
      <c r="A60" s="10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9"/>
      <c r="AK60" s="9"/>
      <c r="AL60" s="9"/>
    </row>
    <row r="61" spans="1:38" x14ac:dyDescent="0.3">
      <c r="A61" s="10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9"/>
      <c r="AK61" s="9"/>
      <c r="AL61" s="9"/>
    </row>
    <row r="62" spans="1:38" x14ac:dyDescent="0.3">
      <c r="A62" s="10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9"/>
      <c r="AK62" s="9"/>
      <c r="AL62" s="9"/>
    </row>
    <row r="63" spans="1:38" x14ac:dyDescent="0.3">
      <c r="A63" s="10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9"/>
      <c r="AK63" s="9"/>
      <c r="AL63" s="9"/>
    </row>
    <row r="64" spans="1:38" x14ac:dyDescent="0.3">
      <c r="A64" s="10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9"/>
      <c r="AK64" s="9"/>
      <c r="AL64" s="9"/>
    </row>
    <row r="65" spans="1:38" x14ac:dyDescent="0.3">
      <c r="A65" s="10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9"/>
      <c r="AK65" s="9"/>
      <c r="AL65" s="9"/>
    </row>
    <row r="66" spans="1:38" x14ac:dyDescent="0.3">
      <c r="A66" s="10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9"/>
      <c r="AK66" s="9"/>
      <c r="AL66" s="9"/>
    </row>
    <row r="67" spans="1:38" x14ac:dyDescent="0.3">
      <c r="A67" s="10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9"/>
      <c r="AK67" s="9"/>
      <c r="AL67" s="9"/>
    </row>
    <row r="68" spans="1:38" x14ac:dyDescent="0.3">
      <c r="A68" s="10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9"/>
      <c r="AK68" s="9"/>
      <c r="AL68" s="9"/>
    </row>
    <row r="69" spans="1:38" x14ac:dyDescent="0.3">
      <c r="A69" s="10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9"/>
      <c r="AK69" s="9"/>
      <c r="AL69" s="9"/>
    </row>
    <row r="70" spans="1:38" x14ac:dyDescent="0.3">
      <c r="A70" s="10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9"/>
      <c r="AK70" s="9"/>
      <c r="AL70" s="9"/>
    </row>
    <row r="71" spans="1:38" x14ac:dyDescent="0.3">
      <c r="A71" s="10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9"/>
      <c r="AK71" s="9"/>
      <c r="AL71" s="9"/>
    </row>
    <row r="72" spans="1:38" x14ac:dyDescent="0.3">
      <c r="A72" s="10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9"/>
      <c r="AK72" s="9"/>
      <c r="AL72" s="9"/>
    </row>
    <row r="73" spans="1:38" x14ac:dyDescent="0.3">
      <c r="A73" s="10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9"/>
      <c r="AK73" s="9"/>
      <c r="AL73" s="9"/>
    </row>
    <row r="74" spans="1:38" x14ac:dyDescent="0.3">
      <c r="A74" s="10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9"/>
      <c r="AK74" s="9"/>
      <c r="AL74" s="9"/>
    </row>
    <row r="75" spans="1:38" x14ac:dyDescent="0.3">
      <c r="A75" s="10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9"/>
      <c r="AK75" s="9"/>
      <c r="AL75" s="9"/>
    </row>
    <row r="76" spans="1:38" x14ac:dyDescent="0.3">
      <c r="A76" s="10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9"/>
      <c r="AK76" s="9"/>
      <c r="AL76" s="9"/>
    </row>
    <row r="77" spans="1:38" x14ac:dyDescent="0.3">
      <c r="A77" s="10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9"/>
      <c r="AK77" s="9"/>
      <c r="AL77" s="9"/>
    </row>
    <row r="78" spans="1:38" x14ac:dyDescent="0.3">
      <c r="A78" s="10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9"/>
      <c r="AK78" s="9"/>
      <c r="AL78" s="9"/>
    </row>
    <row r="79" spans="1:38" x14ac:dyDescent="0.3">
      <c r="A79" s="10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9"/>
      <c r="AK79" s="9"/>
      <c r="AL79" s="9"/>
    </row>
    <row r="80" spans="1:38" x14ac:dyDescent="0.3">
      <c r="A80" s="10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9"/>
      <c r="AK80" s="9"/>
      <c r="AL80" s="9"/>
    </row>
    <row r="81" spans="1:38" x14ac:dyDescent="0.3">
      <c r="A81" s="10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9"/>
      <c r="AK81" s="9"/>
      <c r="AL81" s="9"/>
    </row>
    <row r="82" spans="1:38" x14ac:dyDescent="0.3">
      <c r="A82" s="10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9"/>
      <c r="AK82" s="9"/>
      <c r="AL82" s="9"/>
    </row>
    <row r="83" spans="1:38" x14ac:dyDescent="0.3">
      <c r="A83" s="10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9"/>
      <c r="AK83" s="9"/>
      <c r="AL83" s="9"/>
    </row>
    <row r="84" spans="1:38" x14ac:dyDescent="0.3">
      <c r="A84" s="10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9"/>
      <c r="AK84" s="9"/>
      <c r="AL84" s="9"/>
    </row>
    <row r="85" spans="1:38" x14ac:dyDescent="0.3">
      <c r="A85" s="10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9"/>
      <c r="AK85" s="9"/>
      <c r="AL85" s="9"/>
    </row>
    <row r="86" spans="1:38" x14ac:dyDescent="0.3">
      <c r="A86" s="10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9"/>
      <c r="AK86" s="9"/>
      <c r="AL86" s="9"/>
    </row>
    <row r="87" spans="1:38" x14ac:dyDescent="0.3">
      <c r="A87" s="10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9"/>
      <c r="AK87" s="9"/>
      <c r="AL87" s="9"/>
    </row>
    <row r="88" spans="1:38" x14ac:dyDescent="0.3">
      <c r="A88" s="10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9"/>
      <c r="AK88" s="9"/>
      <c r="AL88" s="9"/>
    </row>
    <row r="89" spans="1:38" x14ac:dyDescent="0.3">
      <c r="A89" s="10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9"/>
      <c r="AK89" s="9"/>
      <c r="AL89" s="9"/>
    </row>
    <row r="90" spans="1:38" x14ac:dyDescent="0.3">
      <c r="A90" s="10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9"/>
      <c r="AK90" s="9"/>
      <c r="AL90" s="9"/>
    </row>
    <row r="91" spans="1:38" x14ac:dyDescent="0.3">
      <c r="A91" s="10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9"/>
      <c r="AK91" s="9"/>
      <c r="AL91" s="9"/>
    </row>
    <row r="92" spans="1:38" x14ac:dyDescent="0.3">
      <c r="A92" s="10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9"/>
      <c r="AK92" s="9"/>
      <c r="AL92" s="9"/>
    </row>
    <row r="93" spans="1:38" x14ac:dyDescent="0.3">
      <c r="A93" s="10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9"/>
      <c r="AK93" s="9"/>
      <c r="AL93" s="9"/>
    </row>
    <row r="94" spans="1:38" x14ac:dyDescent="0.3">
      <c r="A94" s="10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9"/>
      <c r="AK94" s="9"/>
      <c r="AL94" s="9"/>
    </row>
    <row r="95" spans="1:38" x14ac:dyDescent="0.3">
      <c r="A95" s="10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9"/>
      <c r="AK95" s="9"/>
      <c r="AL95" s="9"/>
    </row>
    <row r="96" spans="1:38" x14ac:dyDescent="0.3">
      <c r="A96" s="10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9"/>
      <c r="AK96" s="9"/>
      <c r="AL96" s="9"/>
    </row>
    <row r="97" spans="1:38" x14ac:dyDescent="0.3">
      <c r="A97" s="10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9"/>
      <c r="AK97" s="9"/>
      <c r="AL97" s="9"/>
    </row>
    <row r="98" spans="1:38" x14ac:dyDescent="0.3">
      <c r="A98" s="10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9"/>
      <c r="AK98" s="9"/>
      <c r="AL98" s="9"/>
    </row>
    <row r="99" spans="1:38" x14ac:dyDescent="0.3">
      <c r="A99" s="10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9"/>
      <c r="AK99" s="9"/>
      <c r="AL99" s="9"/>
    </row>
    <row r="100" spans="1:38" x14ac:dyDescent="0.3">
      <c r="A100" s="10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9"/>
      <c r="AK100" s="9"/>
      <c r="AL100" s="9"/>
    </row>
    <row r="101" spans="1:38" x14ac:dyDescent="0.3">
      <c r="A101" s="10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9"/>
      <c r="AK101" s="9"/>
      <c r="AL101" s="9"/>
    </row>
    <row r="102" spans="1:38" x14ac:dyDescent="0.3">
      <c r="A102" s="10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9"/>
      <c r="AK102" s="9"/>
      <c r="AL102" s="9"/>
    </row>
    <row r="103" spans="1:38" x14ac:dyDescent="0.3">
      <c r="A103" s="10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9"/>
      <c r="AK103" s="9"/>
      <c r="AL103" s="9"/>
    </row>
    <row r="104" spans="1:38" x14ac:dyDescent="0.3">
      <c r="A104" s="10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9"/>
      <c r="AK104" s="9"/>
      <c r="AL104" s="9"/>
    </row>
    <row r="105" spans="1:38" x14ac:dyDescent="0.3">
      <c r="A105" s="10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9"/>
      <c r="AK105" s="9"/>
      <c r="AL105" s="9"/>
    </row>
    <row r="106" spans="1:38" x14ac:dyDescent="0.3">
      <c r="A106" s="10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9"/>
      <c r="AK106" s="9"/>
      <c r="AL106" s="9"/>
    </row>
    <row r="107" spans="1:38" x14ac:dyDescent="0.3">
      <c r="A107" s="10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9"/>
      <c r="AK107" s="9"/>
      <c r="AL107" s="9"/>
    </row>
    <row r="108" spans="1:38" x14ac:dyDescent="0.3">
      <c r="A108" s="10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9"/>
      <c r="AK108" s="9"/>
      <c r="AL108" s="9"/>
    </row>
    <row r="109" spans="1:38" x14ac:dyDescent="0.3">
      <c r="A109" s="10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9"/>
      <c r="AK109" s="9"/>
      <c r="AL109" s="9"/>
    </row>
    <row r="110" spans="1:38" x14ac:dyDescent="0.3">
      <c r="A110" s="10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9"/>
      <c r="AK110" s="9"/>
      <c r="AL110" s="9"/>
    </row>
    <row r="111" spans="1:38" x14ac:dyDescent="0.3">
      <c r="A111" s="10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9"/>
      <c r="AK111" s="9"/>
      <c r="AL111" s="9"/>
    </row>
    <row r="112" spans="1:38" x14ac:dyDescent="0.3">
      <c r="A112" s="10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9"/>
      <c r="AK112" s="9"/>
      <c r="AL112" s="9"/>
    </row>
    <row r="113" spans="1:38" x14ac:dyDescent="0.3">
      <c r="A113" s="10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9"/>
      <c r="AK113" s="9"/>
      <c r="AL113" s="9"/>
    </row>
    <row r="114" spans="1:38" x14ac:dyDescent="0.3">
      <c r="A114" s="10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9"/>
      <c r="AK114" s="9"/>
      <c r="AL114" s="9"/>
    </row>
    <row r="115" spans="1:38" x14ac:dyDescent="0.3">
      <c r="A115" s="10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9"/>
      <c r="AK115" s="9"/>
      <c r="AL115" s="9"/>
    </row>
    <row r="116" spans="1:38" x14ac:dyDescent="0.3">
      <c r="A116" s="10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9"/>
      <c r="AK116" s="9"/>
      <c r="AL116" s="9"/>
    </row>
    <row r="117" spans="1:38" x14ac:dyDescent="0.3">
      <c r="A117" s="10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9"/>
      <c r="AK117" s="9"/>
      <c r="AL117" s="9"/>
    </row>
    <row r="118" spans="1:38" x14ac:dyDescent="0.3">
      <c r="A118" s="10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9"/>
      <c r="AK118" s="9"/>
      <c r="AL118" s="9"/>
    </row>
    <row r="119" spans="1:38" x14ac:dyDescent="0.3">
      <c r="A119" s="10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9"/>
      <c r="AK119" s="9"/>
      <c r="AL119" s="9"/>
    </row>
    <row r="120" spans="1:38" x14ac:dyDescent="0.3">
      <c r="A120" s="10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9"/>
      <c r="AK120" s="9"/>
      <c r="AL120" s="9"/>
    </row>
    <row r="121" spans="1:38" x14ac:dyDescent="0.3">
      <c r="A121" s="10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9"/>
      <c r="AK121" s="9"/>
      <c r="AL121" s="9"/>
    </row>
    <row r="122" spans="1:38" x14ac:dyDescent="0.3">
      <c r="A122" s="10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9"/>
      <c r="AK122" s="9"/>
      <c r="AL122" s="9"/>
    </row>
    <row r="123" spans="1:38" x14ac:dyDescent="0.3">
      <c r="A123" s="10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9"/>
      <c r="AK123" s="9"/>
      <c r="AL123" s="9"/>
    </row>
    <row r="124" spans="1:38" x14ac:dyDescent="0.3">
      <c r="A124" s="10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9"/>
      <c r="AK124" s="9"/>
      <c r="AL124" s="9"/>
    </row>
    <row r="125" spans="1:38" x14ac:dyDescent="0.3">
      <c r="A125" s="10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9"/>
      <c r="AK125" s="9"/>
      <c r="AL125" s="9"/>
    </row>
    <row r="126" spans="1:38" x14ac:dyDescent="0.3">
      <c r="A126" s="10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9"/>
      <c r="AK126" s="9"/>
      <c r="AL126" s="9"/>
    </row>
    <row r="127" spans="1:38" x14ac:dyDescent="0.3">
      <c r="A127" s="10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9"/>
      <c r="AK127" s="9"/>
      <c r="AL127" s="9"/>
    </row>
    <row r="128" spans="1:38" x14ac:dyDescent="0.3">
      <c r="A128" s="10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9"/>
      <c r="AK128" s="9"/>
      <c r="AL128" s="9"/>
    </row>
    <row r="129" spans="1:38" x14ac:dyDescent="0.3">
      <c r="A129" s="10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9"/>
      <c r="AK129" s="9"/>
      <c r="AL129" s="9"/>
    </row>
    <row r="130" spans="1:38" x14ac:dyDescent="0.3">
      <c r="A130" s="10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9"/>
      <c r="AK130" s="9"/>
      <c r="AL130" s="9"/>
    </row>
    <row r="131" spans="1:38" x14ac:dyDescent="0.3">
      <c r="A131" s="10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9"/>
      <c r="AK131" s="9"/>
      <c r="AL131" s="9"/>
    </row>
    <row r="132" spans="1:38" x14ac:dyDescent="0.3">
      <c r="A132" s="10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9"/>
      <c r="AK132" s="9"/>
      <c r="AL132" s="9"/>
    </row>
    <row r="133" spans="1:38" x14ac:dyDescent="0.3">
      <c r="A133" s="10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9"/>
      <c r="AK133" s="9"/>
      <c r="AL133" s="9"/>
    </row>
    <row r="134" spans="1:38" x14ac:dyDescent="0.3">
      <c r="A134" s="10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9"/>
      <c r="AK134" s="9"/>
      <c r="AL134" s="9"/>
    </row>
    <row r="135" spans="1:38" x14ac:dyDescent="0.3">
      <c r="A135" s="10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9"/>
      <c r="AK135" s="9"/>
      <c r="AL135" s="9"/>
    </row>
    <row r="136" spans="1:38" x14ac:dyDescent="0.3">
      <c r="A136" s="10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9"/>
      <c r="AK136" s="9"/>
      <c r="AL136" s="9"/>
    </row>
    <row r="137" spans="1:38" x14ac:dyDescent="0.3">
      <c r="A137" s="10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9"/>
      <c r="AK137" s="9"/>
      <c r="AL137" s="9"/>
    </row>
    <row r="138" spans="1:38" x14ac:dyDescent="0.3">
      <c r="A138" s="10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9"/>
      <c r="AK138" s="9"/>
      <c r="AL138" s="9"/>
    </row>
    <row r="139" spans="1:38" x14ac:dyDescent="0.3">
      <c r="A139" s="10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9"/>
      <c r="AK139" s="9"/>
      <c r="AL139" s="9"/>
    </row>
    <row r="140" spans="1:38" x14ac:dyDescent="0.3">
      <c r="A140" s="10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9"/>
      <c r="AK140" s="9"/>
      <c r="AL140" s="9"/>
    </row>
    <row r="141" spans="1:38" x14ac:dyDescent="0.3">
      <c r="A141" s="10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9"/>
      <c r="AK141" s="9"/>
      <c r="AL141" s="9"/>
    </row>
    <row r="142" spans="1:38" x14ac:dyDescent="0.3">
      <c r="A142" s="10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9"/>
      <c r="AK142" s="9"/>
      <c r="AL142" s="9"/>
    </row>
    <row r="143" spans="1:38" x14ac:dyDescent="0.3">
      <c r="A143" s="10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9"/>
      <c r="AK143" s="9"/>
      <c r="AL143" s="9"/>
    </row>
    <row r="144" spans="1:38" x14ac:dyDescent="0.3">
      <c r="A144" s="10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9"/>
      <c r="AK144" s="9"/>
      <c r="AL144" s="9"/>
    </row>
    <row r="145" spans="1:38" x14ac:dyDescent="0.3">
      <c r="A145" s="10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9"/>
      <c r="AK145" s="9"/>
      <c r="AL145" s="9"/>
    </row>
    <row r="146" spans="1:38" x14ac:dyDescent="0.3">
      <c r="A146" s="10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9"/>
      <c r="AK146" s="9"/>
      <c r="AL146" s="9"/>
    </row>
    <row r="147" spans="1:38" x14ac:dyDescent="0.3">
      <c r="A147" s="10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9"/>
      <c r="AK147" s="9"/>
      <c r="AL147" s="9"/>
    </row>
    <row r="148" spans="1:38" x14ac:dyDescent="0.3">
      <c r="A148" s="10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9"/>
      <c r="AK148" s="9"/>
      <c r="AL148" s="9"/>
    </row>
    <row r="149" spans="1:38" x14ac:dyDescent="0.3">
      <c r="A149" s="10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9"/>
      <c r="AK149" s="9"/>
      <c r="AL149" s="9"/>
    </row>
    <row r="150" spans="1:38" x14ac:dyDescent="0.3">
      <c r="A150" s="10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9"/>
      <c r="AK150" s="9"/>
      <c r="AL150" s="9"/>
    </row>
    <row r="151" spans="1:38" x14ac:dyDescent="0.3">
      <c r="A151" s="10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9"/>
      <c r="AK151" s="9"/>
      <c r="AL151" s="9"/>
    </row>
    <row r="152" spans="1:38" x14ac:dyDescent="0.3">
      <c r="A152" s="10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9"/>
      <c r="AK152" s="9"/>
      <c r="AL152" s="9"/>
    </row>
    <row r="153" spans="1:38" x14ac:dyDescent="0.3">
      <c r="A153" s="10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9"/>
      <c r="AK153" s="9"/>
      <c r="AL153" s="9"/>
    </row>
    <row r="154" spans="1:38" x14ac:dyDescent="0.3">
      <c r="A154" s="10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9"/>
      <c r="AK154" s="9"/>
      <c r="AL154" s="9"/>
    </row>
    <row r="155" spans="1:38" x14ac:dyDescent="0.3">
      <c r="A155" s="10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9"/>
      <c r="AK155" s="9"/>
      <c r="AL155" s="9"/>
    </row>
    <row r="156" spans="1:38" x14ac:dyDescent="0.3">
      <c r="A156" s="10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9"/>
      <c r="AK156" s="9"/>
      <c r="AL156" s="9"/>
    </row>
    <row r="157" spans="1:38" x14ac:dyDescent="0.3">
      <c r="A157" s="10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9"/>
      <c r="AK157" s="9"/>
      <c r="AL157" s="9"/>
    </row>
    <row r="158" spans="1:38" x14ac:dyDescent="0.3">
      <c r="A158" s="10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9"/>
      <c r="AK158" s="9"/>
      <c r="AL158" s="9"/>
    </row>
    <row r="159" spans="1:38" x14ac:dyDescent="0.3">
      <c r="A159" s="10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9"/>
      <c r="AK159" s="9"/>
      <c r="AL159" s="9"/>
    </row>
    <row r="160" spans="1:38" x14ac:dyDescent="0.3">
      <c r="A160" s="10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9"/>
      <c r="AK160" s="9"/>
      <c r="AL160" s="9"/>
    </row>
    <row r="161" spans="1:38" x14ac:dyDescent="0.3">
      <c r="A161" s="10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9"/>
      <c r="AK161" s="9"/>
      <c r="AL161" s="9"/>
    </row>
    <row r="162" spans="1:38" x14ac:dyDescent="0.3">
      <c r="A162" s="10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9"/>
      <c r="AK162" s="9"/>
      <c r="AL162" s="9"/>
    </row>
    <row r="163" spans="1:38" x14ac:dyDescent="0.3">
      <c r="A163" s="10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9"/>
      <c r="AK163" s="9"/>
      <c r="AL163" s="9"/>
    </row>
    <row r="164" spans="1:38" x14ac:dyDescent="0.3">
      <c r="A164" s="10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9"/>
      <c r="AK164" s="9"/>
      <c r="AL164" s="9"/>
    </row>
    <row r="165" spans="1:38" x14ac:dyDescent="0.3">
      <c r="A165" s="10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9"/>
      <c r="AK165" s="9"/>
      <c r="AL165" s="9"/>
    </row>
    <row r="166" spans="1:38" x14ac:dyDescent="0.3">
      <c r="A166" s="10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9"/>
      <c r="AK166" s="9"/>
      <c r="AL166" s="9"/>
    </row>
    <row r="167" spans="1:38" x14ac:dyDescent="0.3">
      <c r="A167" s="10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9"/>
      <c r="AK167" s="9"/>
      <c r="AL167" s="9"/>
    </row>
    <row r="168" spans="1:38" x14ac:dyDescent="0.3">
      <c r="A168" s="10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9"/>
      <c r="AK168" s="9"/>
      <c r="AL168" s="9"/>
    </row>
    <row r="169" spans="1:38" x14ac:dyDescent="0.3">
      <c r="A169" s="10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9"/>
      <c r="AK169" s="9"/>
      <c r="AL169" s="9"/>
    </row>
    <row r="170" spans="1:38" x14ac:dyDescent="0.3">
      <c r="A170" s="10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9"/>
      <c r="AK170" s="9"/>
      <c r="AL170" s="9"/>
    </row>
    <row r="171" spans="1:38" x14ac:dyDescent="0.3">
      <c r="A171" s="10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9"/>
      <c r="AK171" s="9"/>
      <c r="AL171" s="9"/>
    </row>
    <row r="172" spans="1:38" x14ac:dyDescent="0.3">
      <c r="A172" s="10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9"/>
      <c r="AK172" s="9"/>
      <c r="AL172" s="9"/>
    </row>
    <row r="173" spans="1:38" x14ac:dyDescent="0.3">
      <c r="A173" s="10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9"/>
      <c r="AK173" s="9"/>
      <c r="AL173" s="9"/>
    </row>
    <row r="174" spans="1:38" x14ac:dyDescent="0.3">
      <c r="A174" s="10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9"/>
      <c r="AK174" s="9"/>
      <c r="AL174" s="9"/>
    </row>
    <row r="175" spans="1:38" x14ac:dyDescent="0.3">
      <c r="A175" s="10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9"/>
      <c r="AK175" s="9"/>
      <c r="AL175" s="9"/>
    </row>
    <row r="176" spans="1:38" x14ac:dyDescent="0.3">
      <c r="A176" s="10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9"/>
      <c r="AK176" s="9"/>
      <c r="AL176" s="9"/>
    </row>
    <row r="177" spans="1:38" x14ac:dyDescent="0.3">
      <c r="A177" s="10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9"/>
      <c r="AK177" s="9"/>
      <c r="AL177" s="9"/>
    </row>
    <row r="178" spans="1:38" x14ac:dyDescent="0.3">
      <c r="A178" s="10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9"/>
      <c r="AK178" s="9"/>
      <c r="AL178" s="9"/>
    </row>
    <row r="179" spans="1:38" x14ac:dyDescent="0.3">
      <c r="A179" s="10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9"/>
      <c r="AK179" s="9"/>
      <c r="AL179" s="9"/>
    </row>
    <row r="180" spans="1:38" x14ac:dyDescent="0.3">
      <c r="A180" s="10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9"/>
      <c r="AK180" s="9"/>
      <c r="AL180" s="9"/>
    </row>
    <row r="181" spans="1:38" x14ac:dyDescent="0.3">
      <c r="A181" s="10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9"/>
      <c r="AK181" s="9"/>
      <c r="AL181" s="9"/>
    </row>
    <row r="182" spans="1:38" x14ac:dyDescent="0.3">
      <c r="A182" s="10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9"/>
      <c r="AK182" s="9"/>
      <c r="AL182" s="9"/>
    </row>
    <row r="183" spans="1:38" x14ac:dyDescent="0.3">
      <c r="A183" s="10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9"/>
      <c r="AK183" s="9"/>
      <c r="AL183" s="9"/>
    </row>
    <row r="184" spans="1:38" x14ac:dyDescent="0.3">
      <c r="A184" s="10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9"/>
      <c r="AK184" s="9"/>
      <c r="AL184" s="9"/>
    </row>
    <row r="185" spans="1:38" x14ac:dyDescent="0.3">
      <c r="A185" s="10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9"/>
      <c r="AK185" s="9"/>
      <c r="AL185" s="9"/>
    </row>
    <row r="186" spans="1:38" x14ac:dyDescent="0.3">
      <c r="A186" s="10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9"/>
      <c r="AK186" s="9"/>
      <c r="AL186" s="9"/>
    </row>
    <row r="187" spans="1:38" x14ac:dyDescent="0.3">
      <c r="A187" s="10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9"/>
      <c r="AK187" s="9"/>
      <c r="AL187" s="9"/>
    </row>
    <row r="188" spans="1:38" x14ac:dyDescent="0.3">
      <c r="A188" s="10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9"/>
      <c r="AK188" s="9"/>
      <c r="AL188" s="9"/>
    </row>
    <row r="189" spans="1:38" x14ac:dyDescent="0.3">
      <c r="A189" s="10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9"/>
      <c r="AK189" s="9"/>
      <c r="AL189" s="9"/>
    </row>
    <row r="190" spans="1:38" x14ac:dyDescent="0.3">
      <c r="A190" s="10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9"/>
      <c r="AK190" s="9"/>
      <c r="AL190" s="9"/>
    </row>
    <row r="191" spans="1:38" x14ac:dyDescent="0.3">
      <c r="A191" s="10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9"/>
      <c r="AK191" s="9"/>
      <c r="AL191" s="9"/>
    </row>
    <row r="192" spans="1:38" x14ac:dyDescent="0.3">
      <c r="A192" s="10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9"/>
      <c r="AK192" s="9"/>
      <c r="AL192" s="9"/>
    </row>
    <row r="193" spans="1:38" x14ac:dyDescent="0.3">
      <c r="A193" s="10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9"/>
      <c r="AK193" s="9"/>
      <c r="AL193" s="9"/>
    </row>
    <row r="194" spans="1:38" x14ac:dyDescent="0.3">
      <c r="A194" s="10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9"/>
      <c r="AK194" s="9"/>
      <c r="AL194" s="9"/>
    </row>
    <row r="195" spans="1:38" x14ac:dyDescent="0.3">
      <c r="A195" s="10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9"/>
      <c r="AK195" s="9"/>
      <c r="AL195" s="9"/>
    </row>
    <row r="196" spans="1:38" x14ac:dyDescent="0.3">
      <c r="A196" s="10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9"/>
      <c r="AK196" s="9"/>
      <c r="AL196" s="9"/>
    </row>
    <row r="197" spans="1:38" x14ac:dyDescent="0.3">
      <c r="A197" s="10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9"/>
      <c r="AK197" s="9"/>
      <c r="AL197" s="9"/>
    </row>
    <row r="198" spans="1:38" x14ac:dyDescent="0.3">
      <c r="A198" s="10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9"/>
      <c r="AK198" s="9"/>
      <c r="AL198" s="9"/>
    </row>
    <row r="199" spans="1:38" x14ac:dyDescent="0.3">
      <c r="A199" s="10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9"/>
      <c r="AK199" s="9"/>
      <c r="AL199" s="9"/>
    </row>
    <row r="200" spans="1:38" x14ac:dyDescent="0.3">
      <c r="A200" s="10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9"/>
      <c r="AK200" s="9"/>
      <c r="AL200" s="9"/>
    </row>
    <row r="201" spans="1:38" x14ac:dyDescent="0.3">
      <c r="A201" s="10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9"/>
      <c r="AK201" s="9"/>
      <c r="AL201" s="9"/>
    </row>
    <row r="202" spans="1:38" x14ac:dyDescent="0.3">
      <c r="A202" s="10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9"/>
      <c r="AK202" s="9"/>
      <c r="AL202" s="9"/>
    </row>
    <row r="203" spans="1:38" x14ac:dyDescent="0.3">
      <c r="A203" s="10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9"/>
      <c r="AK203" s="9"/>
      <c r="AL203" s="9"/>
    </row>
    <row r="204" spans="1:38" x14ac:dyDescent="0.3">
      <c r="A204" s="10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9"/>
      <c r="AK204" s="9"/>
      <c r="AL204" s="9"/>
    </row>
    <row r="205" spans="1:38" x14ac:dyDescent="0.3">
      <c r="A205" s="10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9"/>
      <c r="AK205" s="9"/>
      <c r="AL205" s="9"/>
    </row>
    <row r="206" spans="1:38" x14ac:dyDescent="0.3">
      <c r="A206" s="10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9"/>
      <c r="AK206" s="9"/>
      <c r="AL206" s="9"/>
    </row>
    <row r="207" spans="1:38" x14ac:dyDescent="0.3">
      <c r="A207" s="10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9"/>
      <c r="AK207" s="9"/>
      <c r="AL207" s="9"/>
    </row>
    <row r="208" spans="1:38" x14ac:dyDescent="0.3">
      <c r="A208" s="10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9"/>
      <c r="AK208" s="9"/>
      <c r="AL208" s="9"/>
    </row>
    <row r="209" spans="1:38" x14ac:dyDescent="0.3">
      <c r="A209" s="10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9"/>
      <c r="AK209" s="9"/>
      <c r="AL209" s="9"/>
    </row>
    <row r="210" spans="1:38" x14ac:dyDescent="0.3">
      <c r="A210" s="10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9"/>
      <c r="AK210" s="9"/>
      <c r="AL210" s="9"/>
    </row>
    <row r="211" spans="1:38" x14ac:dyDescent="0.3">
      <c r="A211" s="10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9"/>
      <c r="AK211" s="9"/>
      <c r="AL211" s="9"/>
    </row>
    <row r="212" spans="1:38" x14ac:dyDescent="0.3">
      <c r="A212" s="10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9"/>
      <c r="AK212" s="9"/>
      <c r="AL212" s="9"/>
    </row>
    <row r="213" spans="1:38" x14ac:dyDescent="0.3">
      <c r="A213" s="10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9"/>
      <c r="AK213" s="9"/>
      <c r="AL213" s="9"/>
    </row>
    <row r="214" spans="1:38" x14ac:dyDescent="0.3">
      <c r="A214" s="10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9"/>
      <c r="AK214" s="9"/>
      <c r="AL214" s="9"/>
    </row>
    <row r="215" spans="1:38" x14ac:dyDescent="0.3">
      <c r="A215" s="10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9"/>
      <c r="AK215" s="9"/>
      <c r="AL215" s="9"/>
    </row>
    <row r="216" spans="1:38" x14ac:dyDescent="0.3">
      <c r="A216" s="10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9"/>
      <c r="AK216" s="9"/>
      <c r="AL216" s="9"/>
    </row>
    <row r="217" spans="1:38" x14ac:dyDescent="0.3">
      <c r="A217" s="10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9"/>
      <c r="AK217" s="9"/>
      <c r="AL217" s="9"/>
    </row>
    <row r="218" spans="1:38" x14ac:dyDescent="0.3">
      <c r="A218" s="10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9"/>
      <c r="AK218" s="9"/>
      <c r="AL218" s="9"/>
    </row>
    <row r="219" spans="1:38" x14ac:dyDescent="0.3">
      <c r="A219" s="10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9"/>
      <c r="AK219" s="9"/>
      <c r="AL219" s="9"/>
    </row>
    <row r="220" spans="1:38" x14ac:dyDescent="0.3">
      <c r="A220" s="10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9"/>
      <c r="AK220" s="9"/>
      <c r="AL220" s="9"/>
    </row>
    <row r="221" spans="1:38" x14ac:dyDescent="0.3">
      <c r="A221" s="10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9"/>
      <c r="AK221" s="9"/>
      <c r="AL221" s="9"/>
    </row>
    <row r="222" spans="1:38" x14ac:dyDescent="0.3">
      <c r="A222" s="10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9"/>
      <c r="AK222" s="9"/>
      <c r="AL222" s="9"/>
    </row>
    <row r="223" spans="1:38" x14ac:dyDescent="0.3">
      <c r="A223" s="10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9"/>
      <c r="AK223" s="9"/>
      <c r="AL223" s="9"/>
    </row>
    <row r="224" spans="1:38" x14ac:dyDescent="0.3">
      <c r="A224" s="10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9"/>
      <c r="AK224" s="9"/>
      <c r="AL224" s="9"/>
    </row>
    <row r="225" spans="1:38" x14ac:dyDescent="0.3">
      <c r="A225" s="10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9"/>
      <c r="AK225" s="9"/>
      <c r="AL225" s="9"/>
    </row>
    <row r="226" spans="1:38" x14ac:dyDescent="0.3">
      <c r="A226" s="10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9"/>
      <c r="AK226" s="9"/>
      <c r="AL226" s="9"/>
    </row>
    <row r="227" spans="1:38" x14ac:dyDescent="0.3">
      <c r="A227" s="10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9"/>
      <c r="AK227" s="9"/>
      <c r="AL227" s="9"/>
    </row>
    <row r="228" spans="1:38" x14ac:dyDescent="0.3">
      <c r="A228" s="10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9"/>
      <c r="AK228" s="9"/>
      <c r="AL228" s="9"/>
    </row>
    <row r="229" spans="1:38" x14ac:dyDescent="0.3">
      <c r="A229" s="10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9"/>
      <c r="AK229" s="9"/>
      <c r="AL229" s="9"/>
    </row>
    <row r="230" spans="1:38" x14ac:dyDescent="0.3">
      <c r="A230" s="10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9"/>
      <c r="AK230" s="9"/>
      <c r="AL230" s="9"/>
    </row>
    <row r="231" spans="1:38" x14ac:dyDescent="0.3">
      <c r="A231" s="10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9"/>
      <c r="AK231" s="9"/>
      <c r="AL231" s="9"/>
    </row>
    <row r="232" spans="1:38" x14ac:dyDescent="0.3">
      <c r="A232" s="10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9"/>
      <c r="AK232" s="9"/>
      <c r="AL232" s="9"/>
    </row>
    <row r="233" spans="1:38" x14ac:dyDescent="0.3">
      <c r="A233" s="10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9"/>
      <c r="AK233" s="9"/>
      <c r="AL233" s="9"/>
    </row>
    <row r="234" spans="1:38" x14ac:dyDescent="0.3">
      <c r="A234" s="10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9"/>
      <c r="AK234" s="9"/>
      <c r="AL234" s="9"/>
    </row>
    <row r="235" spans="1:38" x14ac:dyDescent="0.3">
      <c r="A235" s="10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9"/>
      <c r="AK235" s="9"/>
      <c r="AL235" s="9"/>
    </row>
    <row r="236" spans="1:38" x14ac:dyDescent="0.3">
      <c r="A236" s="10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9"/>
      <c r="AK236" s="9"/>
      <c r="AL236" s="9"/>
    </row>
    <row r="237" spans="1:38" x14ac:dyDescent="0.3">
      <c r="A237" s="10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9"/>
      <c r="AK237" s="9"/>
      <c r="AL237" s="9"/>
    </row>
    <row r="238" spans="1:38" x14ac:dyDescent="0.3">
      <c r="A238" s="10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9"/>
      <c r="AK238" s="9"/>
      <c r="AL238" s="9"/>
    </row>
    <row r="239" spans="1:38" x14ac:dyDescent="0.3">
      <c r="A239" s="10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9"/>
      <c r="AK239" s="9"/>
      <c r="AL239" s="9"/>
    </row>
    <row r="240" spans="1:38" x14ac:dyDescent="0.3">
      <c r="A240" s="10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9"/>
      <c r="AK240" s="9"/>
      <c r="AL240" s="9"/>
    </row>
    <row r="241" spans="1:38" x14ac:dyDescent="0.3">
      <c r="A241" s="10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9"/>
      <c r="AK241" s="9"/>
      <c r="AL241" s="9"/>
    </row>
    <row r="242" spans="1:38" x14ac:dyDescent="0.3">
      <c r="A242" s="10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9"/>
      <c r="AK242" s="9"/>
      <c r="AL242" s="9"/>
    </row>
    <row r="243" spans="1:38" x14ac:dyDescent="0.3">
      <c r="A243" s="10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9"/>
      <c r="AK243" s="9"/>
      <c r="AL243" s="9"/>
    </row>
    <row r="244" spans="1:38" x14ac:dyDescent="0.3">
      <c r="A244" s="10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9"/>
      <c r="AK244" s="9"/>
      <c r="AL244" s="9"/>
    </row>
    <row r="245" spans="1:38" x14ac:dyDescent="0.3">
      <c r="A245" s="10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9"/>
      <c r="AK245" s="9"/>
      <c r="AL245" s="9"/>
    </row>
    <row r="246" spans="1:38" x14ac:dyDescent="0.3">
      <c r="A246" s="10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9"/>
      <c r="AK246" s="9"/>
      <c r="AL246" s="9"/>
    </row>
    <row r="247" spans="1:38" x14ac:dyDescent="0.3">
      <c r="A247" s="10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9"/>
      <c r="AK247" s="9"/>
      <c r="AL247" s="9"/>
    </row>
    <row r="248" spans="1:38" x14ac:dyDescent="0.3">
      <c r="A248" s="10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9"/>
      <c r="AK248" s="9"/>
      <c r="AL248" s="9"/>
    </row>
    <row r="249" spans="1:38" x14ac:dyDescent="0.3">
      <c r="A249" s="10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9"/>
      <c r="AK249" s="9"/>
      <c r="AL249" s="9"/>
    </row>
    <row r="250" spans="1:38" x14ac:dyDescent="0.3">
      <c r="A250" s="10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9"/>
      <c r="AK250" s="9"/>
      <c r="AL250" s="9"/>
    </row>
    <row r="251" spans="1:38" x14ac:dyDescent="0.3">
      <c r="A251" s="10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9"/>
      <c r="AK251" s="9"/>
      <c r="AL251" s="9"/>
    </row>
    <row r="252" spans="1:38" x14ac:dyDescent="0.3">
      <c r="A252" s="10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9"/>
      <c r="AK252" s="9"/>
      <c r="AL252" s="9"/>
    </row>
    <row r="253" spans="1:38" x14ac:dyDescent="0.3">
      <c r="A253" s="10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9"/>
      <c r="AK253" s="9"/>
      <c r="AL253" s="9"/>
    </row>
    <row r="254" spans="1:38" x14ac:dyDescent="0.3">
      <c r="A254" s="10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9"/>
      <c r="AK254" s="9"/>
      <c r="AL254" s="9"/>
    </row>
    <row r="255" spans="1:38" x14ac:dyDescent="0.3">
      <c r="A255" s="10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9"/>
      <c r="AK255" s="9"/>
      <c r="AL255" s="9"/>
    </row>
    <row r="256" spans="1:38" x14ac:dyDescent="0.3">
      <c r="A256" s="10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9"/>
      <c r="AK256" s="9"/>
      <c r="AL256" s="9"/>
    </row>
    <row r="257" spans="1:38" x14ac:dyDescent="0.3">
      <c r="A257" s="10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9"/>
      <c r="AK257" s="9"/>
      <c r="AL257" s="9"/>
    </row>
    <row r="258" spans="1:38" x14ac:dyDescent="0.3">
      <c r="A258" s="10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9"/>
      <c r="AK258" s="9"/>
      <c r="AL258" s="9"/>
    </row>
    <row r="259" spans="1:38" x14ac:dyDescent="0.3">
      <c r="A259" s="10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9"/>
      <c r="AK259" s="9"/>
      <c r="AL259" s="9"/>
    </row>
    <row r="260" spans="1:38" x14ac:dyDescent="0.3">
      <c r="A260" s="10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9"/>
      <c r="AK260" s="9"/>
      <c r="AL260" s="9"/>
    </row>
    <row r="261" spans="1:38" x14ac:dyDescent="0.3">
      <c r="A261" s="10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9"/>
      <c r="AK261" s="9"/>
      <c r="AL261" s="9"/>
    </row>
    <row r="262" spans="1:38" x14ac:dyDescent="0.3">
      <c r="A262" s="10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9"/>
      <c r="AK262" s="9"/>
      <c r="AL262" s="9"/>
    </row>
    <row r="263" spans="1:38" x14ac:dyDescent="0.3">
      <c r="A263" s="10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9"/>
      <c r="AK263" s="9"/>
      <c r="AL263" s="9"/>
    </row>
    <row r="264" spans="1:38" x14ac:dyDescent="0.3">
      <c r="A264" s="10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9"/>
      <c r="AK264" s="9"/>
      <c r="AL264" s="9"/>
    </row>
    <row r="265" spans="1:38" x14ac:dyDescent="0.3">
      <c r="A265" s="10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9"/>
      <c r="AK265" s="9"/>
      <c r="AL265" s="9"/>
    </row>
    <row r="266" spans="1:38" x14ac:dyDescent="0.3">
      <c r="A266" s="10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9"/>
      <c r="AK266" s="9"/>
      <c r="AL266" s="9"/>
    </row>
    <row r="267" spans="1:38" x14ac:dyDescent="0.3">
      <c r="A267" s="10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9"/>
      <c r="AK267" s="9"/>
      <c r="AL267" s="9"/>
    </row>
    <row r="268" spans="1:38" x14ac:dyDescent="0.3">
      <c r="A268" s="10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9"/>
      <c r="AK268" s="9"/>
      <c r="AL268" s="9"/>
    </row>
    <row r="269" spans="1:38" x14ac:dyDescent="0.3">
      <c r="A269" s="10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9"/>
      <c r="AK269" s="9"/>
      <c r="AL269" s="9"/>
    </row>
    <row r="270" spans="1:38" x14ac:dyDescent="0.3">
      <c r="A270" s="10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9"/>
      <c r="AK270" s="9"/>
      <c r="AL270" s="9"/>
    </row>
    <row r="271" spans="1:38" x14ac:dyDescent="0.3">
      <c r="A271" s="10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9"/>
      <c r="AK271" s="9"/>
      <c r="AL271" s="9"/>
    </row>
    <row r="272" spans="1:38" x14ac:dyDescent="0.3">
      <c r="A272" s="10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9"/>
      <c r="AK272" s="9"/>
      <c r="AL272" s="9"/>
    </row>
    <row r="273" spans="1:38" x14ac:dyDescent="0.3">
      <c r="A273" s="10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9"/>
      <c r="AK273" s="9"/>
      <c r="AL273" s="9"/>
    </row>
    <row r="274" spans="1:38" x14ac:dyDescent="0.3">
      <c r="A274" s="10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9"/>
      <c r="AK274" s="9"/>
      <c r="AL274" s="9"/>
    </row>
    <row r="275" spans="1:38" x14ac:dyDescent="0.3">
      <c r="A275" s="10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9"/>
      <c r="AK275" s="9"/>
      <c r="AL275" s="9"/>
    </row>
    <row r="276" spans="1:38" x14ac:dyDescent="0.3">
      <c r="A276" s="10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9"/>
      <c r="AK276" s="9"/>
      <c r="AL276" s="9"/>
    </row>
    <row r="277" spans="1:38" x14ac:dyDescent="0.3">
      <c r="A277" s="10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9"/>
      <c r="AK277" s="9"/>
      <c r="AL277" s="9"/>
    </row>
    <row r="278" spans="1:38" x14ac:dyDescent="0.3">
      <c r="A278" s="10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9"/>
      <c r="AK278" s="9"/>
      <c r="AL278" s="9"/>
    </row>
    <row r="279" spans="1:38" x14ac:dyDescent="0.3">
      <c r="A279" s="10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9"/>
      <c r="AK279" s="9"/>
      <c r="AL279" s="9"/>
    </row>
    <row r="280" spans="1:38" x14ac:dyDescent="0.3">
      <c r="A280" s="10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9"/>
      <c r="AK280" s="9"/>
      <c r="AL280" s="9"/>
    </row>
    <row r="281" spans="1:38" x14ac:dyDescent="0.3">
      <c r="A281" s="10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9"/>
      <c r="AK281" s="9"/>
      <c r="AL281" s="9"/>
    </row>
    <row r="282" spans="1:38" x14ac:dyDescent="0.3">
      <c r="A282" s="10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9"/>
      <c r="AK282" s="9"/>
      <c r="AL282" s="9"/>
    </row>
    <row r="283" spans="1:38" x14ac:dyDescent="0.3">
      <c r="A283" s="10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9"/>
      <c r="AK283" s="9"/>
      <c r="AL283" s="9"/>
    </row>
    <row r="284" spans="1:38" x14ac:dyDescent="0.3">
      <c r="A284" s="10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9"/>
      <c r="AK284" s="9"/>
      <c r="AL284" s="9"/>
    </row>
    <row r="285" spans="1:38" x14ac:dyDescent="0.3">
      <c r="A285" s="10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9"/>
      <c r="AK285" s="9"/>
      <c r="AL285" s="9"/>
    </row>
    <row r="286" spans="1:38" x14ac:dyDescent="0.3">
      <c r="A286" s="10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9"/>
      <c r="AK286" s="9"/>
      <c r="AL286" s="9"/>
    </row>
    <row r="287" spans="1:38" x14ac:dyDescent="0.3">
      <c r="A287" s="10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9"/>
      <c r="AK287" s="9"/>
      <c r="AL287" s="9"/>
    </row>
    <row r="288" spans="1:38" x14ac:dyDescent="0.3">
      <c r="A288" s="10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9"/>
      <c r="AK288" s="9"/>
      <c r="AL288" s="9"/>
    </row>
    <row r="289" spans="1:38" x14ac:dyDescent="0.3">
      <c r="A289" s="10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9"/>
      <c r="AK289" s="9"/>
      <c r="AL289" s="9"/>
    </row>
    <row r="290" spans="1:38" x14ac:dyDescent="0.3">
      <c r="A290" s="10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9"/>
      <c r="AK290" s="9"/>
      <c r="AL290" s="9"/>
    </row>
    <row r="291" spans="1:38" x14ac:dyDescent="0.3">
      <c r="A291" s="10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9"/>
      <c r="AK291" s="9"/>
      <c r="AL291" s="9"/>
    </row>
    <row r="292" spans="1:38" x14ac:dyDescent="0.3">
      <c r="A292" s="10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9"/>
      <c r="AK292" s="9"/>
      <c r="AL292" s="9"/>
    </row>
    <row r="293" spans="1:38" x14ac:dyDescent="0.3">
      <c r="A293" s="10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9"/>
      <c r="AK293" s="9"/>
      <c r="AL293" s="9"/>
    </row>
    <row r="294" spans="1:38" x14ac:dyDescent="0.3">
      <c r="A294" s="10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9"/>
      <c r="AK294" s="9"/>
      <c r="AL294" s="9"/>
    </row>
    <row r="295" spans="1:38" x14ac:dyDescent="0.3">
      <c r="A295" s="10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9"/>
      <c r="AK295" s="9"/>
      <c r="AL295" s="9"/>
    </row>
    <row r="296" spans="1:38" x14ac:dyDescent="0.3">
      <c r="A296" s="10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9"/>
      <c r="AK296" s="9"/>
      <c r="AL296" s="9"/>
    </row>
    <row r="297" spans="1:38" x14ac:dyDescent="0.3">
      <c r="A297" s="10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9"/>
      <c r="AK297" s="9"/>
      <c r="AL297" s="9"/>
    </row>
    <row r="298" spans="1:38" x14ac:dyDescent="0.3">
      <c r="A298" s="10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9"/>
      <c r="AK298" s="9"/>
      <c r="AL298" s="9"/>
    </row>
    <row r="299" spans="1:38" x14ac:dyDescent="0.3">
      <c r="A299" s="10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9"/>
      <c r="AK299" s="9"/>
      <c r="AL299" s="9"/>
    </row>
    <row r="300" spans="1:38" x14ac:dyDescent="0.3">
      <c r="A300" s="10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9"/>
      <c r="AK300" s="9"/>
      <c r="AL300" s="9"/>
    </row>
    <row r="301" spans="1:38" x14ac:dyDescent="0.3">
      <c r="A301" s="10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9"/>
      <c r="AK301" s="9"/>
      <c r="AL301" s="9"/>
    </row>
    <row r="302" spans="1:38" x14ac:dyDescent="0.3">
      <c r="A302" s="10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9"/>
      <c r="AK302" s="9"/>
      <c r="AL302" s="9"/>
    </row>
    <row r="303" spans="1:38" x14ac:dyDescent="0.3">
      <c r="A303" s="10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9"/>
      <c r="AK303" s="9"/>
      <c r="AL303" s="9"/>
    </row>
    <row r="304" spans="1:38" x14ac:dyDescent="0.3">
      <c r="A304" s="10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9"/>
      <c r="AK304" s="9"/>
      <c r="AL304" s="9"/>
    </row>
    <row r="305" spans="1:38" x14ac:dyDescent="0.3">
      <c r="A305" s="10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9"/>
      <c r="AK305" s="9"/>
      <c r="AL305" s="9"/>
    </row>
    <row r="306" spans="1:38" x14ac:dyDescent="0.3">
      <c r="A306" s="10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9"/>
      <c r="AK306" s="9"/>
      <c r="AL306" s="9"/>
    </row>
    <row r="307" spans="1:38" x14ac:dyDescent="0.3">
      <c r="A307" s="10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9"/>
      <c r="AK307" s="9"/>
      <c r="AL307" s="9"/>
    </row>
    <row r="308" spans="1:38" x14ac:dyDescent="0.3">
      <c r="A308" s="10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9"/>
      <c r="AK308" s="9"/>
      <c r="AL308" s="9"/>
    </row>
    <row r="309" spans="1:38" x14ac:dyDescent="0.3">
      <c r="A309" s="10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9"/>
      <c r="AK309" s="9"/>
      <c r="AL309" s="9"/>
    </row>
    <row r="310" spans="1:38" x14ac:dyDescent="0.3">
      <c r="A310" s="10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9"/>
      <c r="AK310" s="9"/>
      <c r="AL310" s="9"/>
    </row>
    <row r="311" spans="1:38" x14ac:dyDescent="0.3">
      <c r="A311" s="10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9"/>
      <c r="AK311" s="9"/>
      <c r="AL311" s="9"/>
    </row>
    <row r="312" spans="1:38" x14ac:dyDescent="0.3">
      <c r="A312" s="10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9"/>
      <c r="AK312" s="9"/>
      <c r="AL312" s="9"/>
    </row>
    <row r="313" spans="1:38" x14ac:dyDescent="0.3">
      <c r="A313" s="10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9"/>
      <c r="AK313" s="9"/>
      <c r="AL313" s="9"/>
    </row>
    <row r="314" spans="1:38" x14ac:dyDescent="0.3">
      <c r="A314" s="10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9"/>
      <c r="AK314" s="9"/>
      <c r="AL314" s="9"/>
    </row>
    <row r="315" spans="1:38" x14ac:dyDescent="0.3">
      <c r="A315" s="10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9"/>
      <c r="AK315" s="9"/>
      <c r="AL315" s="9"/>
    </row>
    <row r="316" spans="1:38" x14ac:dyDescent="0.3">
      <c r="A316" s="10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9"/>
      <c r="AK316" s="9"/>
      <c r="AL316" s="9"/>
    </row>
    <row r="317" spans="1:38" x14ac:dyDescent="0.3">
      <c r="A317" s="10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9"/>
      <c r="AK317" s="9"/>
      <c r="AL317" s="9"/>
    </row>
    <row r="318" spans="1:38" x14ac:dyDescent="0.3">
      <c r="A318" s="10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9"/>
      <c r="AK318" s="9"/>
      <c r="AL318" s="9"/>
    </row>
    <row r="319" spans="1:38" x14ac:dyDescent="0.3">
      <c r="A319" s="10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9"/>
      <c r="AK319" s="9"/>
      <c r="AL319" s="9"/>
    </row>
    <row r="320" spans="1:38" x14ac:dyDescent="0.3">
      <c r="A320" s="10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9"/>
      <c r="AK320" s="9"/>
      <c r="AL320" s="9"/>
    </row>
    <row r="321" spans="1:38" x14ac:dyDescent="0.3">
      <c r="A321" s="10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9"/>
      <c r="AK321" s="9"/>
      <c r="AL321" s="9"/>
    </row>
    <row r="322" spans="1:38" x14ac:dyDescent="0.3">
      <c r="A322" s="10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9"/>
      <c r="AK322" s="9"/>
      <c r="AL322" s="9"/>
    </row>
    <row r="323" spans="1:38" x14ac:dyDescent="0.3">
      <c r="A323" s="10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9"/>
      <c r="AK323" s="9"/>
      <c r="AL323" s="9"/>
    </row>
    <row r="324" spans="1:38" x14ac:dyDescent="0.3">
      <c r="A324" s="10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9"/>
      <c r="AK324" s="9"/>
      <c r="AL324" s="9"/>
    </row>
    <row r="325" spans="1:38" x14ac:dyDescent="0.3">
      <c r="A325" s="10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9"/>
      <c r="AK325" s="9"/>
      <c r="AL325" s="9"/>
    </row>
    <row r="326" spans="1:38" x14ac:dyDescent="0.3">
      <c r="A326" s="10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9"/>
      <c r="AK326" s="9"/>
      <c r="AL326" s="9"/>
    </row>
    <row r="327" spans="1:38" x14ac:dyDescent="0.3">
      <c r="A327" s="10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9"/>
      <c r="AK327" s="9"/>
      <c r="AL327" s="9"/>
    </row>
    <row r="328" spans="1:38" x14ac:dyDescent="0.3">
      <c r="A328" s="10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9"/>
      <c r="AK328" s="9"/>
      <c r="AL328" s="9"/>
    </row>
    <row r="329" spans="1:38" x14ac:dyDescent="0.3">
      <c r="A329" s="10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9"/>
      <c r="AK329" s="9"/>
      <c r="AL329" s="9"/>
    </row>
    <row r="330" spans="1:38" x14ac:dyDescent="0.3">
      <c r="A330" s="10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9"/>
      <c r="AK330" s="9"/>
      <c r="AL330" s="9"/>
    </row>
    <row r="331" spans="1:38" x14ac:dyDescent="0.3">
      <c r="A331" s="10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9"/>
      <c r="AK331" s="9"/>
      <c r="AL331" s="9"/>
    </row>
    <row r="332" spans="1:38" x14ac:dyDescent="0.3">
      <c r="A332" s="10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9"/>
      <c r="AK332" s="9"/>
      <c r="AL332" s="9"/>
    </row>
    <row r="333" spans="1:38" x14ac:dyDescent="0.3">
      <c r="A333" s="10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9"/>
      <c r="AK333" s="9"/>
      <c r="AL333" s="9"/>
    </row>
    <row r="334" spans="1:38" x14ac:dyDescent="0.3">
      <c r="A334" s="10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9"/>
      <c r="AK334" s="9"/>
      <c r="AL334" s="9"/>
    </row>
    <row r="335" spans="1:38" x14ac:dyDescent="0.3">
      <c r="A335" s="10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9"/>
      <c r="AK335" s="9"/>
      <c r="AL335" s="9"/>
    </row>
    <row r="336" spans="1:38" x14ac:dyDescent="0.3">
      <c r="A336" s="10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9"/>
      <c r="AK336" s="9"/>
      <c r="AL336" s="9"/>
    </row>
    <row r="337" spans="1:38" x14ac:dyDescent="0.3">
      <c r="A337" s="10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9"/>
      <c r="AK337" s="9"/>
      <c r="AL337" s="9"/>
    </row>
    <row r="338" spans="1:38" x14ac:dyDescent="0.3">
      <c r="A338" s="10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9"/>
      <c r="AK338" s="9"/>
      <c r="AL338" s="9"/>
    </row>
    <row r="339" spans="1:38" x14ac:dyDescent="0.3">
      <c r="A339" s="10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9"/>
      <c r="AK339" s="9"/>
      <c r="AL339" s="9"/>
    </row>
    <row r="340" spans="1:38" x14ac:dyDescent="0.3">
      <c r="A340" s="10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9"/>
      <c r="AK340" s="9"/>
      <c r="AL340" s="9"/>
    </row>
    <row r="341" spans="1:38" x14ac:dyDescent="0.3">
      <c r="A341" s="10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9"/>
      <c r="AK341" s="9"/>
      <c r="AL341" s="9"/>
    </row>
    <row r="342" spans="1:38" x14ac:dyDescent="0.3">
      <c r="A342" s="10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9"/>
      <c r="AK342" s="9"/>
      <c r="AL342" s="9"/>
    </row>
    <row r="343" spans="1:38" x14ac:dyDescent="0.3">
      <c r="A343" s="10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9"/>
      <c r="AK343" s="9"/>
      <c r="AL343" s="9"/>
    </row>
    <row r="344" spans="1:38" x14ac:dyDescent="0.3">
      <c r="A344" s="10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9"/>
      <c r="AK344" s="9"/>
      <c r="AL344" s="9"/>
    </row>
    <row r="345" spans="1:38" x14ac:dyDescent="0.3">
      <c r="A345" s="10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9"/>
      <c r="AK345" s="9"/>
      <c r="AL345" s="9"/>
    </row>
    <row r="346" spans="1:38" x14ac:dyDescent="0.3">
      <c r="A346" s="10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9"/>
      <c r="AK346" s="9"/>
      <c r="AL346" s="9"/>
    </row>
    <row r="347" spans="1:38" x14ac:dyDescent="0.3">
      <c r="A347" s="10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9"/>
      <c r="AK347" s="9"/>
      <c r="AL347" s="9"/>
    </row>
    <row r="348" spans="1:38" x14ac:dyDescent="0.3">
      <c r="A348" s="10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9"/>
      <c r="AK348" s="9"/>
      <c r="AL348" s="9"/>
    </row>
    <row r="349" spans="1:38" x14ac:dyDescent="0.3">
      <c r="A349" s="10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9"/>
      <c r="AK349" s="9"/>
      <c r="AL349" s="9"/>
    </row>
    <row r="350" spans="1:38" x14ac:dyDescent="0.3">
      <c r="A350" s="10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9"/>
      <c r="AK350" s="9"/>
      <c r="AL350" s="9"/>
    </row>
    <row r="351" spans="1:38" x14ac:dyDescent="0.3">
      <c r="A351" s="10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9"/>
      <c r="AK351" s="9"/>
      <c r="AL351" s="9"/>
    </row>
    <row r="352" spans="1:38" x14ac:dyDescent="0.3">
      <c r="A352" s="10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9"/>
      <c r="AK352" s="9"/>
      <c r="AL352" s="9"/>
    </row>
    <row r="353" spans="1:38" x14ac:dyDescent="0.3">
      <c r="A353" s="10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9"/>
      <c r="AK353" s="9"/>
      <c r="AL353" s="9"/>
    </row>
    <row r="354" spans="1:38" x14ac:dyDescent="0.3">
      <c r="A354" s="10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9"/>
      <c r="AK354" s="9"/>
      <c r="AL354" s="9"/>
    </row>
    <row r="355" spans="1:38" x14ac:dyDescent="0.3">
      <c r="A355" s="10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9"/>
      <c r="AK355" s="9"/>
      <c r="AL355" s="9"/>
    </row>
    <row r="356" spans="1:38" x14ac:dyDescent="0.3">
      <c r="A356" s="10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9"/>
      <c r="AK356" s="9"/>
      <c r="AL356" s="9"/>
    </row>
    <row r="357" spans="1:38" x14ac:dyDescent="0.3">
      <c r="A357" s="10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9"/>
      <c r="AK357" s="9"/>
      <c r="AL357" s="9"/>
    </row>
    <row r="358" spans="1:38" x14ac:dyDescent="0.3">
      <c r="A358" s="10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9"/>
      <c r="AK358" s="9"/>
      <c r="AL358" s="9"/>
    </row>
    <row r="359" spans="1:38" x14ac:dyDescent="0.3">
      <c r="A359" s="10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9"/>
      <c r="AK359" s="9"/>
      <c r="AL359" s="9"/>
    </row>
    <row r="360" spans="1:38" x14ac:dyDescent="0.3">
      <c r="A360" s="10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9"/>
      <c r="AK360" s="9"/>
      <c r="AL360" s="9"/>
    </row>
    <row r="361" spans="1:38" x14ac:dyDescent="0.3">
      <c r="A361" s="10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9"/>
      <c r="AK361" s="9"/>
      <c r="AL361" s="9"/>
    </row>
    <row r="362" spans="1:38" x14ac:dyDescent="0.3">
      <c r="A362" s="10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9"/>
      <c r="AK362" s="9"/>
      <c r="AL362" s="9"/>
    </row>
    <row r="363" spans="1:38" x14ac:dyDescent="0.3">
      <c r="A363" s="10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9"/>
      <c r="AK363" s="9"/>
      <c r="AL363" s="9"/>
    </row>
    <row r="364" spans="1:38" x14ac:dyDescent="0.3">
      <c r="A364" s="10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9"/>
      <c r="AK364" s="9"/>
      <c r="AL364" s="9"/>
    </row>
    <row r="365" spans="1:38" x14ac:dyDescent="0.3">
      <c r="A365" s="10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9"/>
      <c r="AK365" s="9"/>
      <c r="AL365" s="9"/>
    </row>
    <row r="366" spans="1:38" x14ac:dyDescent="0.3">
      <c r="A366" s="10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9"/>
      <c r="AK366" s="9"/>
      <c r="AL366" s="9"/>
    </row>
    <row r="367" spans="1:38" x14ac:dyDescent="0.3">
      <c r="A367" s="10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9"/>
      <c r="AK367" s="9"/>
      <c r="AL367" s="9"/>
    </row>
    <row r="368" spans="1:38" x14ac:dyDescent="0.3">
      <c r="A368" s="10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9"/>
      <c r="AK368" s="9"/>
      <c r="AL368" s="9"/>
    </row>
    <row r="369" spans="1:38" x14ac:dyDescent="0.3">
      <c r="A369" s="10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9"/>
      <c r="AK369" s="9"/>
      <c r="AL369" s="9"/>
    </row>
    <row r="370" spans="1:38" x14ac:dyDescent="0.3">
      <c r="A370" s="10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9"/>
      <c r="AK370" s="9"/>
      <c r="AL370" s="9"/>
    </row>
    <row r="371" spans="1:38" x14ac:dyDescent="0.3">
      <c r="A371" s="10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9"/>
      <c r="AK371" s="9"/>
      <c r="AL371" s="9"/>
    </row>
    <row r="372" spans="1:38" x14ac:dyDescent="0.3">
      <c r="A372" s="10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9"/>
      <c r="AK372" s="9"/>
      <c r="AL372" s="9"/>
    </row>
    <row r="373" spans="1:38" x14ac:dyDescent="0.3">
      <c r="A373" s="10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9"/>
      <c r="AK373" s="9"/>
      <c r="AL373" s="9"/>
    </row>
    <row r="374" spans="1:38" x14ac:dyDescent="0.3">
      <c r="A374" s="10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9"/>
      <c r="AK374" s="9"/>
      <c r="AL374" s="9"/>
    </row>
    <row r="375" spans="1:38" x14ac:dyDescent="0.3">
      <c r="A375" s="10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9"/>
      <c r="AK375" s="9"/>
      <c r="AL375" s="9"/>
    </row>
    <row r="376" spans="1:38" x14ac:dyDescent="0.3">
      <c r="A376" s="10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9"/>
      <c r="AK376" s="9"/>
      <c r="AL376" s="9"/>
    </row>
    <row r="377" spans="1:38" x14ac:dyDescent="0.3">
      <c r="A377" s="10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9"/>
      <c r="AK377" s="9"/>
      <c r="AL377" s="9"/>
    </row>
    <row r="378" spans="1:38" x14ac:dyDescent="0.3">
      <c r="A378" s="10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9"/>
      <c r="AK378" s="9"/>
      <c r="AL378" s="9"/>
    </row>
    <row r="379" spans="1:38" x14ac:dyDescent="0.3">
      <c r="A379" s="10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9"/>
      <c r="AK379" s="9"/>
      <c r="AL379" s="9"/>
    </row>
    <row r="380" spans="1:38" x14ac:dyDescent="0.3">
      <c r="A380" s="10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9"/>
      <c r="AK380" s="9"/>
      <c r="AL380" s="9"/>
    </row>
    <row r="381" spans="1:38" x14ac:dyDescent="0.3">
      <c r="A381" s="10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9"/>
      <c r="AK381" s="9"/>
      <c r="AL381" s="9"/>
    </row>
    <row r="382" spans="1:38" x14ac:dyDescent="0.3">
      <c r="A382" s="10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9"/>
      <c r="AK382" s="9"/>
      <c r="AL382" s="9"/>
    </row>
    <row r="383" spans="1:38" x14ac:dyDescent="0.3">
      <c r="A383" s="10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9"/>
      <c r="AK383" s="9"/>
      <c r="AL383" s="9"/>
    </row>
    <row r="384" spans="1:38" x14ac:dyDescent="0.3">
      <c r="A384" s="10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9"/>
      <c r="AK384" s="9"/>
      <c r="AL384" s="9"/>
    </row>
    <row r="385" spans="1:38" x14ac:dyDescent="0.3">
      <c r="A385" s="10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9"/>
      <c r="AK385" s="9"/>
      <c r="AL385" s="9"/>
    </row>
    <row r="386" spans="1:38" x14ac:dyDescent="0.3">
      <c r="A386" s="10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9"/>
      <c r="AK386" s="9"/>
      <c r="AL386" s="9"/>
    </row>
    <row r="387" spans="1:38" x14ac:dyDescent="0.3">
      <c r="A387" s="10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9"/>
      <c r="AK387" s="9"/>
      <c r="AL387" s="9"/>
    </row>
    <row r="388" spans="1:38" x14ac:dyDescent="0.3">
      <c r="A388" s="10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9"/>
      <c r="AK388" s="9"/>
      <c r="AL388" s="9"/>
    </row>
    <row r="389" spans="1:38" x14ac:dyDescent="0.3">
      <c r="A389" s="10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9"/>
      <c r="AK389" s="9"/>
      <c r="AL389" s="9"/>
    </row>
    <row r="390" spans="1:38" x14ac:dyDescent="0.3">
      <c r="A390" s="10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9"/>
      <c r="AK390" s="9"/>
      <c r="AL390" s="9"/>
    </row>
    <row r="391" spans="1:38" x14ac:dyDescent="0.3">
      <c r="A391" s="10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9"/>
      <c r="AK391" s="9"/>
      <c r="AL391" s="9"/>
    </row>
    <row r="392" spans="1:38" x14ac:dyDescent="0.3">
      <c r="A392" s="10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9"/>
      <c r="AK392" s="9"/>
      <c r="AL392" s="9"/>
    </row>
    <row r="393" spans="1:38" x14ac:dyDescent="0.3">
      <c r="A393" s="10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9"/>
      <c r="AK393" s="9"/>
      <c r="AL393" s="9"/>
    </row>
    <row r="394" spans="1:38" x14ac:dyDescent="0.3">
      <c r="A394" s="10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9"/>
      <c r="AK394" s="9"/>
      <c r="AL394" s="9"/>
    </row>
    <row r="395" spans="1:38" x14ac:dyDescent="0.3">
      <c r="A395" s="10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9"/>
      <c r="AK395" s="9"/>
      <c r="AL395" s="9"/>
    </row>
    <row r="396" spans="1:38" x14ac:dyDescent="0.3">
      <c r="A396" s="10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9"/>
      <c r="AK396" s="9"/>
      <c r="AL396" s="9"/>
    </row>
    <row r="397" spans="1:38" x14ac:dyDescent="0.3">
      <c r="A397" s="10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9"/>
      <c r="AK397" s="9"/>
      <c r="AL397" s="9"/>
    </row>
    <row r="398" spans="1:38" x14ac:dyDescent="0.3">
      <c r="A398" s="10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9"/>
      <c r="AK398" s="9"/>
      <c r="AL398" s="9"/>
    </row>
    <row r="399" spans="1:38" x14ac:dyDescent="0.3">
      <c r="A399" s="10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9"/>
      <c r="AK399" s="9"/>
      <c r="AL399" s="9"/>
    </row>
    <row r="400" spans="1:38" x14ac:dyDescent="0.3">
      <c r="A400" s="10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9"/>
      <c r="AK400" s="9"/>
      <c r="AL400" s="9"/>
    </row>
    <row r="401" spans="1:38" x14ac:dyDescent="0.3">
      <c r="A401" s="10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9"/>
      <c r="AK401" s="9"/>
      <c r="AL401" s="9"/>
    </row>
    <row r="402" spans="1:38" x14ac:dyDescent="0.3">
      <c r="A402" s="10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9"/>
      <c r="AK402" s="9"/>
      <c r="AL402" s="9"/>
    </row>
    <row r="403" spans="1:38" x14ac:dyDescent="0.3">
      <c r="A403" s="10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9"/>
      <c r="AK403" s="9"/>
      <c r="AL403" s="9"/>
    </row>
    <row r="404" spans="1:38" x14ac:dyDescent="0.3">
      <c r="A404" s="10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9"/>
      <c r="AK404" s="9"/>
      <c r="AL404" s="9"/>
    </row>
    <row r="405" spans="1:38" x14ac:dyDescent="0.3">
      <c r="A405" s="10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9"/>
      <c r="AK405" s="9"/>
      <c r="AL405" s="9"/>
    </row>
    <row r="406" spans="1:38" x14ac:dyDescent="0.3">
      <c r="A406" s="10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9"/>
      <c r="AK406" s="9"/>
      <c r="AL406" s="9"/>
    </row>
    <row r="407" spans="1:38" x14ac:dyDescent="0.3">
      <c r="A407" s="10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9"/>
      <c r="AK407" s="9"/>
      <c r="AL407" s="9"/>
    </row>
    <row r="408" spans="1:38" x14ac:dyDescent="0.3">
      <c r="A408" s="10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9"/>
      <c r="AK408" s="9"/>
      <c r="AL408" s="9"/>
    </row>
    <row r="409" spans="1:38" x14ac:dyDescent="0.3">
      <c r="A409" s="10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9"/>
      <c r="AK409" s="9"/>
      <c r="AL409" s="9"/>
    </row>
    <row r="410" spans="1:38" x14ac:dyDescent="0.3">
      <c r="A410" s="10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9"/>
      <c r="AK410" s="9"/>
      <c r="AL410" s="9"/>
    </row>
    <row r="411" spans="1:38" x14ac:dyDescent="0.3">
      <c r="A411" s="10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9"/>
      <c r="AK411" s="9"/>
      <c r="AL411" s="9"/>
    </row>
    <row r="412" spans="1:38" x14ac:dyDescent="0.3">
      <c r="A412" s="10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9"/>
      <c r="AK412" s="9"/>
      <c r="AL412" s="9"/>
    </row>
    <row r="413" spans="1:38" x14ac:dyDescent="0.3">
      <c r="A413" s="10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9"/>
      <c r="AK413" s="9"/>
      <c r="AL413" s="9"/>
    </row>
    <row r="414" spans="1:38" x14ac:dyDescent="0.3">
      <c r="A414" s="10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9"/>
      <c r="AK414" s="9"/>
      <c r="AL414" s="9"/>
    </row>
    <row r="415" spans="1:38" x14ac:dyDescent="0.3">
      <c r="A415" s="10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9"/>
      <c r="AK415" s="9"/>
      <c r="AL415" s="9"/>
    </row>
    <row r="416" spans="1:38" x14ac:dyDescent="0.3">
      <c r="A416" s="10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9"/>
      <c r="AK416" s="9"/>
      <c r="AL416" s="9"/>
    </row>
    <row r="417" spans="1:38" x14ac:dyDescent="0.3">
      <c r="A417" s="10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9"/>
      <c r="AK417" s="9"/>
      <c r="AL417" s="9"/>
    </row>
    <row r="418" spans="1:38" x14ac:dyDescent="0.3">
      <c r="A418" s="10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9"/>
      <c r="AK418" s="9"/>
      <c r="AL418" s="9"/>
    </row>
    <row r="419" spans="1:38" x14ac:dyDescent="0.3">
      <c r="A419" s="10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9"/>
      <c r="AK419" s="9"/>
      <c r="AL419" s="9"/>
    </row>
    <row r="420" spans="1:38" x14ac:dyDescent="0.3">
      <c r="A420" s="10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9"/>
      <c r="AK420" s="9"/>
      <c r="AL420" s="9"/>
    </row>
    <row r="421" spans="1:38" x14ac:dyDescent="0.3">
      <c r="A421" s="10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9"/>
      <c r="AK421" s="9"/>
      <c r="AL421" s="9"/>
    </row>
    <row r="422" spans="1:38" x14ac:dyDescent="0.3">
      <c r="A422" s="10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9"/>
      <c r="AK422" s="9"/>
      <c r="AL422" s="9"/>
    </row>
    <row r="423" spans="1:38" x14ac:dyDescent="0.3">
      <c r="A423" s="10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9"/>
      <c r="AK423" s="9"/>
      <c r="AL423" s="9"/>
    </row>
    <row r="424" spans="1:38" x14ac:dyDescent="0.3">
      <c r="A424" s="10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9"/>
      <c r="AK424" s="9"/>
      <c r="AL424" s="9"/>
    </row>
    <row r="425" spans="1:38" x14ac:dyDescent="0.3">
      <c r="A425" s="10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9"/>
      <c r="AK425" s="9"/>
      <c r="AL425" s="9"/>
    </row>
    <row r="426" spans="1:38" x14ac:dyDescent="0.3">
      <c r="A426" s="10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9"/>
      <c r="AK426" s="9"/>
      <c r="AL426" s="9"/>
    </row>
    <row r="427" spans="1:38" x14ac:dyDescent="0.3">
      <c r="A427" s="10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9"/>
      <c r="AK427" s="9"/>
      <c r="AL427" s="9"/>
    </row>
    <row r="428" spans="1:38" x14ac:dyDescent="0.3">
      <c r="A428" s="10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9"/>
      <c r="AK428" s="9"/>
      <c r="AL428" s="9"/>
    </row>
    <row r="429" spans="1:38" x14ac:dyDescent="0.3">
      <c r="A429" s="10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9"/>
      <c r="AK429" s="9"/>
      <c r="AL429" s="9"/>
    </row>
    <row r="430" spans="1:38" x14ac:dyDescent="0.3">
      <c r="A430" s="10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9"/>
      <c r="AK430" s="9"/>
      <c r="AL430" s="9"/>
    </row>
    <row r="431" spans="1:38" x14ac:dyDescent="0.3">
      <c r="A431" s="10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9"/>
      <c r="AK431" s="9"/>
      <c r="AL431" s="9"/>
    </row>
    <row r="432" spans="1:38" x14ac:dyDescent="0.3">
      <c r="A432" s="10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9"/>
      <c r="AK432" s="9"/>
      <c r="AL432" s="9"/>
    </row>
    <row r="433" spans="1:38" x14ac:dyDescent="0.3">
      <c r="A433" s="10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9"/>
      <c r="AK433" s="9"/>
      <c r="AL433" s="9"/>
    </row>
    <row r="434" spans="1:38" x14ac:dyDescent="0.3">
      <c r="A434" s="10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9"/>
      <c r="AK434" s="9"/>
      <c r="AL434" s="9"/>
    </row>
    <row r="435" spans="1:38" x14ac:dyDescent="0.3">
      <c r="A435" s="10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9"/>
      <c r="AK435" s="9"/>
      <c r="AL435" s="9"/>
    </row>
    <row r="436" spans="1:38" x14ac:dyDescent="0.3">
      <c r="A436" s="10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9"/>
      <c r="AK436" s="9"/>
      <c r="AL436" s="9"/>
    </row>
    <row r="437" spans="1:38" x14ac:dyDescent="0.3">
      <c r="A437" s="10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9"/>
      <c r="AK437" s="9"/>
      <c r="AL437" s="9"/>
    </row>
    <row r="438" spans="1:38" x14ac:dyDescent="0.3">
      <c r="A438" s="10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9"/>
      <c r="AK438" s="9"/>
      <c r="AL438" s="9"/>
    </row>
    <row r="439" spans="1:38" x14ac:dyDescent="0.3">
      <c r="A439" s="10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9"/>
      <c r="AK439" s="9"/>
      <c r="AL439" s="9"/>
    </row>
    <row r="440" spans="1:38" x14ac:dyDescent="0.3">
      <c r="A440" s="10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9"/>
      <c r="AK440" s="9"/>
      <c r="AL440" s="9"/>
    </row>
    <row r="441" spans="1:38" x14ac:dyDescent="0.3">
      <c r="A441" s="10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9"/>
      <c r="AK441" s="9"/>
      <c r="AL441" s="9"/>
    </row>
    <row r="442" spans="1:38" x14ac:dyDescent="0.3">
      <c r="A442" s="10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9"/>
      <c r="AK442" s="9"/>
      <c r="AL442" s="9"/>
    </row>
    <row r="443" spans="1:38" x14ac:dyDescent="0.3">
      <c r="A443" s="10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9"/>
      <c r="AK443" s="9"/>
      <c r="AL443" s="9"/>
    </row>
    <row r="444" spans="1:38" x14ac:dyDescent="0.3">
      <c r="A444" s="10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9"/>
      <c r="AK444" s="9"/>
      <c r="AL444" s="9"/>
    </row>
    <row r="445" spans="1:38" x14ac:dyDescent="0.3">
      <c r="A445" s="10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9"/>
      <c r="AK445" s="9"/>
      <c r="AL445" s="9"/>
    </row>
    <row r="446" spans="1:38" x14ac:dyDescent="0.3">
      <c r="A446" s="10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9"/>
      <c r="AK446" s="9"/>
      <c r="AL446" s="9"/>
    </row>
    <row r="447" spans="1:38" x14ac:dyDescent="0.3">
      <c r="A447" s="10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9"/>
      <c r="AK447" s="9"/>
      <c r="AL447" s="9"/>
    </row>
    <row r="448" spans="1:38" x14ac:dyDescent="0.3">
      <c r="A448" s="10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9"/>
      <c r="AK448" s="9"/>
      <c r="AL448" s="9"/>
    </row>
    <row r="449" spans="1:38" x14ac:dyDescent="0.3">
      <c r="A449" s="10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9"/>
      <c r="AK449" s="9"/>
      <c r="AL449" s="9"/>
    </row>
    <row r="450" spans="1:38" x14ac:dyDescent="0.3">
      <c r="A450" s="10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9"/>
      <c r="AK450" s="9"/>
      <c r="AL450" s="9"/>
    </row>
    <row r="451" spans="1:38" x14ac:dyDescent="0.3">
      <c r="A451" s="10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9"/>
      <c r="AK451" s="9"/>
      <c r="AL451" s="9"/>
    </row>
    <row r="452" spans="1:38" x14ac:dyDescent="0.3">
      <c r="A452" s="10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9"/>
      <c r="AK452" s="9"/>
      <c r="AL452" s="9"/>
    </row>
    <row r="453" spans="1:38" x14ac:dyDescent="0.3">
      <c r="A453" s="10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9"/>
      <c r="AK453" s="9"/>
      <c r="AL453" s="9"/>
    </row>
    <row r="454" spans="1:38" x14ac:dyDescent="0.3">
      <c r="A454" s="10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9"/>
      <c r="AK454" s="9"/>
      <c r="AL454" s="9"/>
    </row>
    <row r="455" spans="1:38" x14ac:dyDescent="0.3">
      <c r="A455" s="10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9"/>
      <c r="AK455" s="9"/>
      <c r="AL455" s="9"/>
    </row>
    <row r="456" spans="1:38" x14ac:dyDescent="0.3">
      <c r="A456" s="10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9"/>
      <c r="AK456" s="9"/>
      <c r="AL456" s="9"/>
    </row>
    <row r="457" spans="1:38" x14ac:dyDescent="0.3">
      <c r="A457" s="10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9"/>
      <c r="AK457" s="9"/>
      <c r="AL457" s="9"/>
    </row>
    <row r="458" spans="1:38" x14ac:dyDescent="0.3">
      <c r="A458" s="10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9"/>
      <c r="AK458" s="9"/>
      <c r="AL458" s="9"/>
    </row>
    <row r="459" spans="1:38" x14ac:dyDescent="0.3">
      <c r="A459" s="10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9"/>
      <c r="AK459" s="9"/>
      <c r="AL459" s="9"/>
    </row>
    <row r="460" spans="1:38" x14ac:dyDescent="0.3">
      <c r="A460" s="10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9"/>
      <c r="AK460" s="9"/>
      <c r="AL460" s="9"/>
    </row>
    <row r="461" spans="1:38" x14ac:dyDescent="0.3">
      <c r="A461" s="10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9"/>
      <c r="AK461" s="9"/>
      <c r="AL461" s="9"/>
    </row>
    <row r="462" spans="1:38" x14ac:dyDescent="0.3">
      <c r="A462" s="10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9"/>
      <c r="AK462" s="9"/>
      <c r="AL462" s="9"/>
    </row>
    <row r="463" spans="1:38" x14ac:dyDescent="0.3">
      <c r="A463" s="10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9"/>
      <c r="AK463" s="9"/>
      <c r="AL463" s="9"/>
    </row>
    <row r="464" spans="1:38" x14ac:dyDescent="0.3">
      <c r="A464" s="10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9"/>
      <c r="AK464" s="9"/>
      <c r="AL464" s="9"/>
    </row>
    <row r="465" spans="1:38" x14ac:dyDescent="0.3">
      <c r="A465" s="10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9"/>
      <c r="AK465" s="9"/>
      <c r="AL465" s="9"/>
    </row>
    <row r="466" spans="1:38" x14ac:dyDescent="0.3">
      <c r="A466" s="10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9"/>
      <c r="AK466" s="9"/>
      <c r="AL466" s="9"/>
    </row>
    <row r="467" spans="1:38" x14ac:dyDescent="0.3">
      <c r="A467" s="10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9"/>
      <c r="AK467" s="9"/>
      <c r="AL467" s="9"/>
    </row>
    <row r="468" spans="1:38" x14ac:dyDescent="0.3">
      <c r="A468" s="10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9"/>
      <c r="AK468" s="9"/>
      <c r="AL468" s="9"/>
    </row>
    <row r="469" spans="1:38" x14ac:dyDescent="0.3">
      <c r="A469" s="10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9"/>
      <c r="AK469" s="9"/>
      <c r="AL469" s="9"/>
    </row>
    <row r="470" spans="1:38" x14ac:dyDescent="0.3">
      <c r="A470" s="10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9"/>
      <c r="AK470" s="9"/>
      <c r="AL470" s="9"/>
    </row>
    <row r="471" spans="1:38" x14ac:dyDescent="0.3">
      <c r="A471" s="10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9"/>
      <c r="AK471" s="9"/>
      <c r="AL471" s="9"/>
    </row>
    <row r="472" spans="1:38" x14ac:dyDescent="0.3">
      <c r="A472" s="10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9"/>
      <c r="AK472" s="9"/>
      <c r="AL472" s="9"/>
    </row>
    <row r="473" spans="1:38" x14ac:dyDescent="0.3">
      <c r="A473" s="10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9"/>
      <c r="AK473" s="9"/>
      <c r="AL473" s="9"/>
    </row>
    <row r="474" spans="1:38" x14ac:dyDescent="0.3">
      <c r="A474" s="10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9"/>
      <c r="AK474" s="9"/>
      <c r="AL474" s="9"/>
    </row>
    <row r="475" spans="1:38" x14ac:dyDescent="0.3">
      <c r="A475" s="10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9"/>
      <c r="AK475" s="9"/>
      <c r="AL475" s="9"/>
    </row>
    <row r="476" spans="1:38" x14ac:dyDescent="0.3">
      <c r="A476" s="10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9"/>
      <c r="AK476" s="9"/>
      <c r="AL476" s="9"/>
    </row>
    <row r="477" spans="1:38" x14ac:dyDescent="0.3">
      <c r="A477" s="10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9"/>
      <c r="AK477" s="9"/>
      <c r="AL477" s="9"/>
    </row>
    <row r="478" spans="1:38" x14ac:dyDescent="0.3">
      <c r="A478" s="10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9"/>
      <c r="AK478" s="9"/>
      <c r="AL478" s="9"/>
    </row>
    <row r="479" spans="1:38" x14ac:dyDescent="0.3">
      <c r="A479" s="10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9"/>
      <c r="AK479" s="9"/>
      <c r="AL479" s="9"/>
    </row>
    <row r="480" spans="1:38" x14ac:dyDescent="0.3">
      <c r="A480" s="10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9"/>
      <c r="AK480" s="9"/>
      <c r="AL480" s="9"/>
    </row>
    <row r="481" spans="1:38" x14ac:dyDescent="0.3">
      <c r="A481" s="10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9"/>
      <c r="AK481" s="9"/>
      <c r="AL481" s="9"/>
    </row>
    <row r="482" spans="1:38" x14ac:dyDescent="0.3">
      <c r="A482" s="10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9"/>
      <c r="AK482" s="9"/>
      <c r="AL482" s="9"/>
    </row>
    <row r="483" spans="1:38" x14ac:dyDescent="0.3">
      <c r="A483" s="10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9"/>
      <c r="AK483" s="9"/>
      <c r="AL483" s="9"/>
    </row>
    <row r="484" spans="1:38" x14ac:dyDescent="0.3">
      <c r="A484" s="10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9"/>
      <c r="AK484" s="9"/>
      <c r="AL484" s="9"/>
    </row>
    <row r="485" spans="1:38" x14ac:dyDescent="0.3">
      <c r="A485" s="10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9"/>
      <c r="AK485" s="9"/>
      <c r="AL485" s="9"/>
    </row>
    <row r="486" spans="1:38" x14ac:dyDescent="0.3">
      <c r="A486" s="10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9"/>
      <c r="AK486" s="9"/>
      <c r="AL486" s="9"/>
    </row>
    <row r="487" spans="1:38" x14ac:dyDescent="0.3">
      <c r="A487" s="10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9"/>
      <c r="AK487" s="9"/>
      <c r="AL487" s="9"/>
    </row>
    <row r="488" spans="1:38" x14ac:dyDescent="0.3">
      <c r="A488" s="10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9"/>
      <c r="AK488" s="9"/>
      <c r="AL488" s="9"/>
    </row>
    <row r="489" spans="1:38" x14ac:dyDescent="0.3">
      <c r="A489" s="10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9"/>
      <c r="AK489" s="9"/>
      <c r="AL489" s="9"/>
    </row>
    <row r="490" spans="1:38" x14ac:dyDescent="0.3">
      <c r="A490" s="10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9"/>
      <c r="AK490" s="9"/>
      <c r="AL490" s="9"/>
    </row>
    <row r="491" spans="1:38" x14ac:dyDescent="0.3">
      <c r="A491" s="10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9"/>
      <c r="AK491" s="9"/>
      <c r="AL491" s="9"/>
    </row>
    <row r="492" spans="1:38" x14ac:dyDescent="0.3">
      <c r="A492" s="10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9"/>
      <c r="AK492" s="9"/>
      <c r="AL492" s="9"/>
    </row>
    <row r="493" spans="1:38" x14ac:dyDescent="0.3">
      <c r="A493" s="10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9"/>
      <c r="AK493" s="9"/>
      <c r="AL493" s="9"/>
    </row>
    <row r="494" spans="1:38" x14ac:dyDescent="0.3">
      <c r="A494" s="10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9"/>
      <c r="AK494" s="9"/>
      <c r="AL494" s="9"/>
    </row>
    <row r="495" spans="1:38" x14ac:dyDescent="0.3">
      <c r="A495" s="10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9"/>
      <c r="AK495" s="9"/>
      <c r="AL495" s="9"/>
    </row>
    <row r="496" spans="1:38" x14ac:dyDescent="0.3">
      <c r="A496" s="10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9"/>
      <c r="AK496" s="9"/>
      <c r="AL496" s="9"/>
    </row>
    <row r="497" spans="1:38" x14ac:dyDescent="0.3">
      <c r="A497" s="10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9"/>
      <c r="AK497" s="9"/>
      <c r="AL497" s="9"/>
    </row>
    <row r="498" spans="1:38" x14ac:dyDescent="0.3">
      <c r="A498" s="10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9"/>
      <c r="AK498" s="9"/>
      <c r="AL498" s="9"/>
    </row>
    <row r="499" spans="1:38" x14ac:dyDescent="0.3">
      <c r="A499" s="10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9"/>
      <c r="AK499" s="9"/>
      <c r="AL499" s="9"/>
    </row>
    <row r="500" spans="1:38" x14ac:dyDescent="0.3">
      <c r="A500" s="10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9"/>
      <c r="AK500" s="9"/>
      <c r="AL500" s="9"/>
    </row>
    <row r="501" spans="1:38" x14ac:dyDescent="0.3">
      <c r="A501" s="10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9"/>
      <c r="AK501" s="9"/>
      <c r="AL501" s="9"/>
    </row>
    <row r="502" spans="1:38" x14ac:dyDescent="0.3">
      <c r="A502" s="10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9"/>
      <c r="AK502" s="9"/>
      <c r="AL502" s="9"/>
    </row>
    <row r="503" spans="1:38" x14ac:dyDescent="0.3">
      <c r="A503" s="10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9"/>
      <c r="AK503" s="9"/>
      <c r="AL503" s="9"/>
    </row>
    <row r="504" spans="1:38" x14ac:dyDescent="0.3">
      <c r="A504" s="10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9"/>
      <c r="AK504" s="9"/>
      <c r="AL504" s="9"/>
    </row>
    <row r="505" spans="1:38" x14ac:dyDescent="0.3">
      <c r="A505" s="10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9"/>
      <c r="AK505" s="9"/>
      <c r="AL505" s="9"/>
    </row>
    <row r="506" spans="1:38" x14ac:dyDescent="0.3">
      <c r="A506" s="10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9"/>
      <c r="AK506" s="9"/>
      <c r="AL506" s="9"/>
    </row>
    <row r="507" spans="1:38" x14ac:dyDescent="0.3">
      <c r="A507" s="10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9"/>
      <c r="AK507" s="9"/>
      <c r="AL507" s="9"/>
    </row>
    <row r="508" spans="1:38" x14ac:dyDescent="0.3">
      <c r="A508" s="10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9"/>
      <c r="AK508" s="9"/>
      <c r="AL508" s="9"/>
    </row>
    <row r="509" spans="1:38" x14ac:dyDescent="0.3">
      <c r="A509" s="10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9"/>
      <c r="AK509" s="9"/>
      <c r="AL509" s="9"/>
    </row>
    <row r="510" spans="1:38" x14ac:dyDescent="0.3">
      <c r="A510" s="10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9"/>
      <c r="AK510" s="9"/>
      <c r="AL510" s="9"/>
    </row>
    <row r="511" spans="1:38" x14ac:dyDescent="0.3">
      <c r="A511" s="10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9"/>
      <c r="AK511" s="9"/>
      <c r="AL511" s="9"/>
    </row>
    <row r="512" spans="1:38" x14ac:dyDescent="0.3">
      <c r="A512" s="10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9"/>
      <c r="AK512" s="9"/>
      <c r="AL512" s="9"/>
    </row>
    <row r="513" spans="1:38" x14ac:dyDescent="0.3">
      <c r="A513" s="10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9"/>
      <c r="AK513" s="9"/>
      <c r="AL513" s="9"/>
    </row>
    <row r="514" spans="1:38" x14ac:dyDescent="0.3">
      <c r="A514" s="10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9"/>
      <c r="AK514" s="9"/>
      <c r="AL514" s="9"/>
    </row>
    <row r="515" spans="1:38" x14ac:dyDescent="0.3">
      <c r="A515" s="10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9"/>
      <c r="AK515" s="9"/>
      <c r="AL515" s="9"/>
    </row>
    <row r="516" spans="1:38" x14ac:dyDescent="0.3">
      <c r="A516" s="10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9"/>
      <c r="AK516" s="9"/>
      <c r="AL516" s="9"/>
    </row>
    <row r="517" spans="1:38" x14ac:dyDescent="0.3">
      <c r="A517" s="10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9"/>
      <c r="AK517" s="9"/>
      <c r="AL517" s="9"/>
    </row>
    <row r="518" spans="1:38" x14ac:dyDescent="0.3">
      <c r="A518" s="10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9"/>
      <c r="AK518" s="9"/>
      <c r="AL518" s="9"/>
    </row>
    <row r="519" spans="1:38" x14ac:dyDescent="0.3">
      <c r="A519" s="10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9"/>
      <c r="AK519" s="9"/>
      <c r="AL519" s="9"/>
    </row>
    <row r="520" spans="1:38" x14ac:dyDescent="0.3">
      <c r="A520" s="10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9"/>
      <c r="AK520" s="9"/>
      <c r="AL520" s="9"/>
    </row>
    <row r="521" spans="1:38" x14ac:dyDescent="0.3">
      <c r="A521" s="10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9"/>
      <c r="AK521" s="9"/>
      <c r="AL521" s="9"/>
    </row>
    <row r="522" spans="1:38" x14ac:dyDescent="0.3">
      <c r="A522" s="10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9"/>
      <c r="AK522" s="9"/>
      <c r="AL522" s="9"/>
    </row>
    <row r="523" spans="1:38" x14ac:dyDescent="0.3">
      <c r="A523" s="10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9"/>
      <c r="AK523" s="9"/>
      <c r="AL523" s="9"/>
    </row>
    <row r="524" spans="1:38" x14ac:dyDescent="0.3">
      <c r="A524" s="10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9"/>
      <c r="AK524" s="9"/>
      <c r="AL524" s="9"/>
    </row>
    <row r="525" spans="1:38" x14ac:dyDescent="0.3">
      <c r="A525" s="10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9"/>
      <c r="AK525" s="9"/>
      <c r="AL525" s="9"/>
    </row>
    <row r="526" spans="1:38" x14ac:dyDescent="0.3">
      <c r="A526" s="10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9"/>
      <c r="AK526" s="9"/>
      <c r="AL526" s="9"/>
    </row>
    <row r="527" spans="1:38" x14ac:dyDescent="0.3">
      <c r="A527" s="10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9"/>
      <c r="AK527" s="9"/>
      <c r="AL527" s="9"/>
    </row>
    <row r="528" spans="1:38" x14ac:dyDescent="0.3">
      <c r="A528" s="10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9"/>
      <c r="AK528" s="9"/>
      <c r="AL528" s="9"/>
    </row>
    <row r="529" spans="1:38" x14ac:dyDescent="0.3">
      <c r="A529" s="10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9"/>
      <c r="AK529" s="9"/>
      <c r="AL529" s="9"/>
    </row>
    <row r="530" spans="1:38" x14ac:dyDescent="0.3">
      <c r="A530" s="10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9"/>
      <c r="AK530" s="9"/>
      <c r="AL530" s="9"/>
    </row>
    <row r="531" spans="1:38" x14ac:dyDescent="0.3">
      <c r="A531" s="10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9"/>
      <c r="AK531" s="9"/>
      <c r="AL531" s="9"/>
    </row>
    <row r="532" spans="1:38" x14ac:dyDescent="0.3">
      <c r="A532" s="10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9"/>
      <c r="AK532" s="9"/>
      <c r="AL532" s="9"/>
    </row>
    <row r="533" spans="1:38" x14ac:dyDescent="0.3">
      <c r="A533" s="10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9"/>
      <c r="AK533" s="9"/>
      <c r="AL533" s="9"/>
    </row>
    <row r="534" spans="1:38" x14ac:dyDescent="0.3">
      <c r="A534" s="10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9"/>
      <c r="AK534" s="9"/>
      <c r="AL534" s="9"/>
    </row>
    <row r="535" spans="1:38" x14ac:dyDescent="0.3">
      <c r="A535" s="10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9"/>
      <c r="AK535" s="9"/>
      <c r="AL535" s="9"/>
    </row>
    <row r="536" spans="1:38" x14ac:dyDescent="0.3">
      <c r="A536" s="10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9"/>
      <c r="AK536" s="9"/>
      <c r="AL536" s="9"/>
    </row>
    <row r="537" spans="1:38" x14ac:dyDescent="0.3">
      <c r="A537" s="10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9"/>
      <c r="AK537" s="9"/>
      <c r="AL537" s="9"/>
    </row>
    <row r="538" spans="1:38" x14ac:dyDescent="0.3">
      <c r="A538" s="10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9"/>
      <c r="AK538" s="9"/>
      <c r="AL538" s="9"/>
    </row>
    <row r="539" spans="1:38" x14ac:dyDescent="0.3">
      <c r="A539" s="10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9"/>
      <c r="AK539" s="9"/>
      <c r="AL539" s="9"/>
    </row>
    <row r="540" spans="1:38" x14ac:dyDescent="0.3">
      <c r="A540" s="10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9"/>
      <c r="AK540" s="9"/>
      <c r="AL540" s="9"/>
    </row>
    <row r="541" spans="1:38" x14ac:dyDescent="0.3">
      <c r="A541" s="10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9"/>
      <c r="AK541" s="9"/>
      <c r="AL541" s="9"/>
    </row>
    <row r="542" spans="1:38" x14ac:dyDescent="0.3">
      <c r="A542" s="10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9"/>
      <c r="AK542" s="9"/>
      <c r="AL542" s="9"/>
    </row>
    <row r="543" spans="1:38" x14ac:dyDescent="0.3">
      <c r="A543" s="10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9"/>
      <c r="AK543" s="9"/>
      <c r="AL543" s="9"/>
    </row>
    <row r="544" spans="1:38" x14ac:dyDescent="0.3">
      <c r="A544" s="10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9"/>
      <c r="AK544" s="9"/>
      <c r="AL544" s="9"/>
    </row>
    <row r="545" spans="1:38" x14ac:dyDescent="0.3">
      <c r="A545" s="10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9"/>
      <c r="AK545" s="9"/>
      <c r="AL545" s="9"/>
    </row>
    <row r="546" spans="1:38" x14ac:dyDescent="0.3">
      <c r="A546" s="10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9"/>
      <c r="AK546" s="9"/>
      <c r="AL546" s="9"/>
    </row>
    <row r="547" spans="1:38" x14ac:dyDescent="0.3">
      <c r="A547" s="10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9"/>
      <c r="AK547" s="9"/>
      <c r="AL547" s="9"/>
    </row>
    <row r="548" spans="1:38" x14ac:dyDescent="0.3">
      <c r="A548" s="10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9"/>
      <c r="AK548" s="9"/>
      <c r="AL548" s="9"/>
    </row>
    <row r="549" spans="1:38" x14ac:dyDescent="0.3">
      <c r="A549" s="10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9"/>
      <c r="AK549" s="9"/>
      <c r="AL549" s="9"/>
    </row>
    <row r="550" spans="1:38" x14ac:dyDescent="0.3">
      <c r="A550" s="10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9"/>
      <c r="AK550" s="9"/>
      <c r="AL550" s="9"/>
    </row>
    <row r="551" spans="1:38" x14ac:dyDescent="0.3">
      <c r="A551" s="10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9"/>
      <c r="AK551" s="9"/>
      <c r="AL551" s="9"/>
    </row>
    <row r="552" spans="1:38" x14ac:dyDescent="0.3">
      <c r="A552" s="10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9"/>
      <c r="AK552" s="9"/>
      <c r="AL552" s="9"/>
    </row>
    <row r="553" spans="1:38" x14ac:dyDescent="0.3">
      <c r="A553" s="10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9"/>
      <c r="AK553" s="9"/>
      <c r="AL553" s="9"/>
    </row>
    <row r="554" spans="1:38" x14ac:dyDescent="0.3">
      <c r="A554" s="10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9"/>
      <c r="AK554" s="9"/>
      <c r="AL554" s="9"/>
    </row>
    <row r="555" spans="1:38" x14ac:dyDescent="0.3">
      <c r="A555" s="10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9"/>
      <c r="AK555" s="9"/>
      <c r="AL555" s="9"/>
    </row>
    <row r="556" spans="1:38" x14ac:dyDescent="0.3">
      <c r="A556" s="10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9"/>
      <c r="AK556" s="9"/>
      <c r="AL556" s="9"/>
    </row>
    <row r="557" spans="1:38" x14ac:dyDescent="0.3">
      <c r="A557" s="10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9"/>
      <c r="AK557" s="9"/>
      <c r="AL557" s="9"/>
    </row>
    <row r="558" spans="1:38" x14ac:dyDescent="0.3">
      <c r="A558" s="10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9"/>
      <c r="AK558" s="9"/>
      <c r="AL558" s="9"/>
    </row>
    <row r="559" spans="1:38" x14ac:dyDescent="0.3">
      <c r="A559" s="10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9"/>
      <c r="AK559" s="9"/>
      <c r="AL559" s="9"/>
    </row>
    <row r="560" spans="1:38" x14ac:dyDescent="0.3">
      <c r="A560" s="10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9"/>
      <c r="AK560" s="9"/>
      <c r="AL560" s="9"/>
    </row>
    <row r="561" spans="1:38" x14ac:dyDescent="0.3">
      <c r="A561" s="10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9"/>
      <c r="AK561" s="9"/>
      <c r="AL561" s="9"/>
    </row>
    <row r="562" spans="1:38" x14ac:dyDescent="0.3">
      <c r="A562" s="10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9"/>
      <c r="AK562" s="9"/>
      <c r="AL562" s="9"/>
    </row>
    <row r="563" spans="1:38" x14ac:dyDescent="0.3">
      <c r="A563" s="10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9"/>
      <c r="AK563" s="9"/>
      <c r="AL563" s="9"/>
    </row>
    <row r="564" spans="1:38" x14ac:dyDescent="0.3">
      <c r="A564" s="10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9"/>
      <c r="AK564" s="9"/>
      <c r="AL564" s="9"/>
    </row>
    <row r="565" spans="1:38" x14ac:dyDescent="0.3">
      <c r="A565" s="10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9"/>
      <c r="AK565" s="9"/>
      <c r="AL565" s="9"/>
    </row>
    <row r="566" spans="1:38" x14ac:dyDescent="0.3">
      <c r="A566" s="10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9"/>
      <c r="AK566" s="9"/>
      <c r="AL566" s="9"/>
    </row>
    <row r="567" spans="1:38" x14ac:dyDescent="0.3">
      <c r="A567" s="10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9"/>
      <c r="AK567" s="9"/>
      <c r="AL567" s="9"/>
    </row>
    <row r="568" spans="1:38" x14ac:dyDescent="0.3">
      <c r="A568" s="10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9"/>
      <c r="AK568" s="9"/>
      <c r="AL568" s="9"/>
    </row>
    <row r="569" spans="1:38" x14ac:dyDescent="0.3">
      <c r="A569" s="10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9"/>
      <c r="AK569" s="9"/>
      <c r="AL569" s="9"/>
    </row>
    <row r="570" spans="1:38" x14ac:dyDescent="0.3">
      <c r="A570" s="10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9"/>
      <c r="AK570" s="9"/>
      <c r="AL570" s="9"/>
    </row>
    <row r="571" spans="1:38" x14ac:dyDescent="0.3">
      <c r="A571" s="10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9"/>
      <c r="AK571" s="9"/>
      <c r="AL571" s="9"/>
    </row>
    <row r="572" spans="1:38" x14ac:dyDescent="0.3">
      <c r="A572" s="10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9"/>
      <c r="AK572" s="9"/>
      <c r="AL572" s="9"/>
    </row>
    <row r="573" spans="1:38" x14ac:dyDescent="0.3">
      <c r="A573" s="10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9"/>
      <c r="AK573" s="9"/>
      <c r="AL573" s="9"/>
    </row>
    <row r="574" spans="1:38" x14ac:dyDescent="0.3">
      <c r="A574" s="10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9"/>
      <c r="AK574" s="9"/>
      <c r="AL574" s="9"/>
    </row>
    <row r="575" spans="1:38" x14ac:dyDescent="0.3">
      <c r="A575" s="10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9"/>
      <c r="AK575" s="9"/>
      <c r="AL575" s="9"/>
    </row>
    <row r="576" spans="1:38" x14ac:dyDescent="0.3">
      <c r="A576" s="10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9"/>
      <c r="AK576" s="9"/>
      <c r="AL576" s="9"/>
    </row>
    <row r="577" spans="1:38" x14ac:dyDescent="0.3">
      <c r="A577" s="10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9"/>
      <c r="AK577" s="9"/>
      <c r="AL577" s="9"/>
    </row>
    <row r="578" spans="1:38" x14ac:dyDescent="0.3">
      <c r="A578" s="10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9"/>
      <c r="AK578" s="9"/>
      <c r="AL578" s="9"/>
    </row>
    <row r="579" spans="1:38" x14ac:dyDescent="0.3">
      <c r="A579" s="10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9"/>
      <c r="AK579" s="9"/>
      <c r="AL579" s="9"/>
    </row>
    <row r="580" spans="1:38" x14ac:dyDescent="0.3">
      <c r="A580" s="10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9"/>
      <c r="AK580" s="9"/>
      <c r="AL580" s="9"/>
    </row>
    <row r="581" spans="1:38" x14ac:dyDescent="0.3">
      <c r="A581" s="10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9"/>
      <c r="AK581" s="9"/>
      <c r="AL581" s="9"/>
    </row>
    <row r="582" spans="1:38" x14ac:dyDescent="0.3">
      <c r="A582" s="10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9"/>
      <c r="AK582" s="9"/>
      <c r="AL582" s="9"/>
    </row>
    <row r="583" spans="1:38" x14ac:dyDescent="0.3">
      <c r="A583" s="10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9"/>
      <c r="AK583" s="9"/>
      <c r="AL583" s="9"/>
    </row>
    <row r="584" spans="1:38" x14ac:dyDescent="0.3">
      <c r="A584" s="10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9"/>
      <c r="AK584" s="9"/>
      <c r="AL584" s="9"/>
    </row>
    <row r="585" spans="1:38" x14ac:dyDescent="0.3">
      <c r="A585" s="10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9"/>
      <c r="AK585" s="9"/>
      <c r="AL585" s="9"/>
    </row>
    <row r="586" spans="1:38" x14ac:dyDescent="0.3">
      <c r="A586" s="10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9"/>
      <c r="AK586" s="9"/>
      <c r="AL586" s="9"/>
    </row>
    <row r="587" spans="1:38" x14ac:dyDescent="0.3">
      <c r="A587" s="10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9"/>
      <c r="AK587" s="9"/>
      <c r="AL587" s="9"/>
    </row>
    <row r="588" spans="1:38" x14ac:dyDescent="0.3">
      <c r="A588" s="10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9"/>
      <c r="AK588" s="9"/>
      <c r="AL588" s="9"/>
    </row>
    <row r="589" spans="1:38" x14ac:dyDescent="0.3">
      <c r="A589" s="10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9"/>
      <c r="AK589" s="9"/>
      <c r="AL589" s="9"/>
    </row>
    <row r="590" spans="1:38" x14ac:dyDescent="0.3">
      <c r="A590" s="10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9"/>
      <c r="AK590" s="9"/>
      <c r="AL590" s="9"/>
    </row>
    <row r="591" spans="1:38" x14ac:dyDescent="0.3">
      <c r="A591" s="10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9"/>
      <c r="AK591" s="9"/>
      <c r="AL591" s="9"/>
    </row>
    <row r="592" spans="1:38" x14ac:dyDescent="0.3">
      <c r="A592" s="10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9"/>
      <c r="AK592" s="9"/>
      <c r="AL592" s="9"/>
    </row>
    <row r="593" spans="1:38" x14ac:dyDescent="0.3">
      <c r="A593" s="10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9"/>
      <c r="AK593" s="9"/>
      <c r="AL593" s="9"/>
    </row>
    <row r="594" spans="1:38" x14ac:dyDescent="0.3">
      <c r="A594" s="10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9"/>
      <c r="AK594" s="9"/>
      <c r="AL594" s="9"/>
    </row>
    <row r="595" spans="1:38" x14ac:dyDescent="0.3">
      <c r="A595" s="10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9"/>
      <c r="AK595" s="9"/>
      <c r="AL595" s="9"/>
    </row>
    <row r="596" spans="1:38" x14ac:dyDescent="0.3">
      <c r="A596" s="10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9"/>
      <c r="AK596" s="9"/>
      <c r="AL596" s="9"/>
    </row>
    <row r="597" spans="1:38" x14ac:dyDescent="0.3">
      <c r="A597" s="10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9"/>
      <c r="AK597" s="9"/>
      <c r="AL597" s="9"/>
    </row>
    <row r="598" spans="1:38" x14ac:dyDescent="0.3">
      <c r="A598" s="10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9"/>
      <c r="AK598" s="9"/>
      <c r="AL598" s="9"/>
    </row>
    <row r="599" spans="1:38" x14ac:dyDescent="0.3">
      <c r="A599" s="10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9"/>
      <c r="AK599" s="9"/>
      <c r="AL599" s="9"/>
    </row>
    <row r="600" spans="1:38" x14ac:dyDescent="0.3">
      <c r="A600" s="10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9"/>
      <c r="AK600" s="9"/>
      <c r="AL600" s="9"/>
    </row>
    <row r="601" spans="1:38" x14ac:dyDescent="0.3">
      <c r="A601" s="10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9"/>
      <c r="AK601" s="9"/>
      <c r="AL601" s="9"/>
    </row>
    <row r="602" spans="1:38" x14ac:dyDescent="0.3">
      <c r="A602" s="10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9"/>
      <c r="AK602" s="9"/>
      <c r="AL602" s="9"/>
    </row>
    <row r="603" spans="1:38" x14ac:dyDescent="0.3">
      <c r="A603" s="10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9"/>
      <c r="AK603" s="9"/>
      <c r="AL603" s="9"/>
    </row>
    <row r="604" spans="1:38" x14ac:dyDescent="0.3">
      <c r="A604" s="10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9"/>
      <c r="AK604" s="9"/>
      <c r="AL604" s="9"/>
    </row>
    <row r="605" spans="1:38" x14ac:dyDescent="0.3">
      <c r="A605" s="10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9"/>
      <c r="AK605" s="9"/>
      <c r="AL605" s="9"/>
    </row>
    <row r="606" spans="1:38" x14ac:dyDescent="0.3">
      <c r="A606" s="10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9"/>
      <c r="AK606" s="9"/>
      <c r="AL606" s="9"/>
    </row>
    <row r="607" spans="1:38" x14ac:dyDescent="0.3">
      <c r="A607" s="10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9"/>
      <c r="AK607" s="9"/>
      <c r="AL607" s="9"/>
    </row>
    <row r="608" spans="1:38" x14ac:dyDescent="0.3">
      <c r="A608" s="10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9"/>
      <c r="AK608" s="9"/>
      <c r="AL608" s="9"/>
    </row>
    <row r="609" spans="1:38" x14ac:dyDescent="0.3">
      <c r="A609" s="10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9"/>
      <c r="AK609" s="9"/>
      <c r="AL609" s="9"/>
    </row>
    <row r="610" spans="1:38" x14ac:dyDescent="0.3">
      <c r="A610" s="10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9"/>
      <c r="AK610" s="9"/>
      <c r="AL610" s="9"/>
    </row>
    <row r="611" spans="1:38" x14ac:dyDescent="0.3">
      <c r="A611" s="10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9"/>
      <c r="AK611" s="9"/>
      <c r="AL611" s="9"/>
    </row>
    <row r="612" spans="1:38" x14ac:dyDescent="0.3">
      <c r="A612" s="10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9"/>
      <c r="AK612" s="9"/>
      <c r="AL612" s="9"/>
    </row>
    <row r="613" spans="1:38" x14ac:dyDescent="0.3">
      <c r="A613" s="10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9"/>
      <c r="AK613" s="9"/>
      <c r="AL613" s="9"/>
    </row>
    <row r="614" spans="1:38" x14ac:dyDescent="0.3">
      <c r="A614" s="10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9"/>
      <c r="AK614" s="9"/>
      <c r="AL614" s="9"/>
    </row>
    <row r="615" spans="1:38" x14ac:dyDescent="0.3">
      <c r="A615" s="10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9"/>
      <c r="AK615" s="9"/>
      <c r="AL615" s="9"/>
    </row>
    <row r="616" spans="1:38" x14ac:dyDescent="0.3">
      <c r="A616" s="10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9"/>
      <c r="AK616" s="9"/>
      <c r="AL616" s="9"/>
    </row>
    <row r="617" spans="1:38" x14ac:dyDescent="0.3">
      <c r="A617" s="10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9"/>
      <c r="AK617" s="9"/>
      <c r="AL617" s="9"/>
    </row>
    <row r="618" spans="1:38" x14ac:dyDescent="0.3">
      <c r="A618" s="10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9"/>
      <c r="AK618" s="9"/>
      <c r="AL618" s="9"/>
    </row>
    <row r="619" spans="1:38" x14ac:dyDescent="0.3">
      <c r="A619" s="10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9"/>
      <c r="AK619" s="9"/>
      <c r="AL619" s="9"/>
    </row>
    <row r="620" spans="1:38" x14ac:dyDescent="0.3">
      <c r="A620" s="10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9"/>
      <c r="AK620" s="9"/>
      <c r="AL620" s="9"/>
    </row>
    <row r="621" spans="1:38" x14ac:dyDescent="0.3">
      <c r="A621" s="10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9"/>
      <c r="AK621" s="9"/>
      <c r="AL621" s="9"/>
    </row>
    <row r="622" spans="1:38" x14ac:dyDescent="0.3">
      <c r="A622" s="10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9"/>
      <c r="AK622" s="9"/>
      <c r="AL622" s="9"/>
    </row>
    <row r="623" spans="1:38" x14ac:dyDescent="0.3">
      <c r="A623" s="10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9"/>
      <c r="AK623" s="9"/>
      <c r="AL623" s="9"/>
    </row>
    <row r="624" spans="1:38" x14ac:dyDescent="0.3">
      <c r="A624" s="10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9"/>
      <c r="AK624" s="9"/>
      <c r="AL624" s="9"/>
    </row>
    <row r="625" spans="1:38" x14ac:dyDescent="0.3">
      <c r="A625" s="10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9"/>
      <c r="AK625" s="9"/>
      <c r="AL625" s="9"/>
    </row>
    <row r="626" spans="1:38" x14ac:dyDescent="0.3">
      <c r="A626" s="10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9"/>
      <c r="AK626" s="9"/>
      <c r="AL626" s="9"/>
    </row>
    <row r="627" spans="1:38" x14ac:dyDescent="0.3">
      <c r="A627" s="10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9"/>
      <c r="AK627" s="9"/>
      <c r="AL627" s="9"/>
    </row>
    <row r="628" spans="1:38" x14ac:dyDescent="0.3">
      <c r="A628" s="10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9"/>
      <c r="AK628" s="9"/>
      <c r="AL628" s="9"/>
    </row>
    <row r="629" spans="1:38" x14ac:dyDescent="0.3">
      <c r="A629" s="10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9"/>
      <c r="AK629" s="9"/>
      <c r="AL629" s="9"/>
    </row>
    <row r="630" spans="1:38" x14ac:dyDescent="0.3">
      <c r="A630" s="10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9"/>
      <c r="AK630" s="9"/>
      <c r="AL630" s="9"/>
    </row>
    <row r="631" spans="1:38" x14ac:dyDescent="0.3">
      <c r="A631" s="10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9"/>
      <c r="AK631" s="9"/>
      <c r="AL631" s="9"/>
    </row>
    <row r="632" spans="1:38" x14ac:dyDescent="0.3">
      <c r="A632" s="10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9"/>
      <c r="AK632" s="9"/>
      <c r="AL632" s="9"/>
    </row>
    <row r="633" spans="1:38" x14ac:dyDescent="0.3">
      <c r="A633" s="10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9"/>
      <c r="AK633" s="9"/>
      <c r="AL633" s="9"/>
    </row>
    <row r="634" spans="1:38" x14ac:dyDescent="0.3">
      <c r="A634" s="10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9"/>
      <c r="AK634" s="9"/>
      <c r="AL634" s="9"/>
    </row>
    <row r="635" spans="1:38" x14ac:dyDescent="0.3">
      <c r="A635" s="10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9"/>
      <c r="AK635" s="9"/>
      <c r="AL635" s="9"/>
    </row>
    <row r="636" spans="1:38" x14ac:dyDescent="0.3">
      <c r="A636" s="10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9"/>
      <c r="AK636" s="9"/>
      <c r="AL636" s="9"/>
    </row>
    <row r="637" spans="1:38" x14ac:dyDescent="0.3">
      <c r="A637" s="10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9"/>
      <c r="AK637" s="9"/>
      <c r="AL637" s="9"/>
    </row>
    <row r="638" spans="1:38" x14ac:dyDescent="0.3">
      <c r="A638" s="10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9"/>
      <c r="AK638" s="9"/>
      <c r="AL638" s="9"/>
    </row>
    <row r="639" spans="1:38" x14ac:dyDescent="0.3">
      <c r="A639" s="10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9"/>
      <c r="AK639" s="9"/>
      <c r="AL639" s="9"/>
    </row>
    <row r="640" spans="1:38" x14ac:dyDescent="0.3">
      <c r="A640" s="10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9"/>
      <c r="AK640" s="9"/>
      <c r="AL640" s="9"/>
    </row>
    <row r="641" spans="1:38" x14ac:dyDescent="0.3">
      <c r="A641" s="10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9"/>
      <c r="AK641" s="9"/>
      <c r="AL641" s="9"/>
    </row>
    <row r="642" spans="1:38" x14ac:dyDescent="0.3">
      <c r="A642" s="10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9"/>
      <c r="AK642" s="9"/>
      <c r="AL642" s="9"/>
    </row>
    <row r="643" spans="1:38" x14ac:dyDescent="0.3">
      <c r="A643" s="10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9"/>
      <c r="AK643" s="9"/>
      <c r="AL643" s="9"/>
    </row>
    <row r="644" spans="1:38" x14ac:dyDescent="0.3">
      <c r="A644" s="10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9"/>
      <c r="AK644" s="9"/>
      <c r="AL644" s="9"/>
    </row>
    <row r="645" spans="1:38" x14ac:dyDescent="0.3">
      <c r="A645" s="10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9"/>
      <c r="AK645" s="9"/>
      <c r="AL645" s="9"/>
    </row>
    <row r="646" spans="1:38" x14ac:dyDescent="0.3">
      <c r="A646" s="10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9"/>
      <c r="AK646" s="9"/>
      <c r="AL646" s="9"/>
    </row>
    <row r="647" spans="1:38" x14ac:dyDescent="0.3">
      <c r="A647" s="10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9"/>
      <c r="AK647" s="9"/>
      <c r="AL647" s="9"/>
    </row>
    <row r="648" spans="1:38" x14ac:dyDescent="0.3">
      <c r="A648" s="10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9"/>
      <c r="AK648" s="9"/>
      <c r="AL648" s="9"/>
    </row>
    <row r="649" spans="1:38" x14ac:dyDescent="0.3">
      <c r="A649" s="10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9"/>
      <c r="AK649" s="9"/>
      <c r="AL649" s="9"/>
    </row>
    <row r="650" spans="1:38" x14ac:dyDescent="0.3">
      <c r="A650" s="10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9"/>
      <c r="AK650" s="9"/>
      <c r="AL650" s="9"/>
    </row>
    <row r="651" spans="1:38" x14ac:dyDescent="0.3">
      <c r="A651" s="10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9"/>
      <c r="AK651" s="9"/>
      <c r="AL651" s="9"/>
    </row>
    <row r="652" spans="1:38" x14ac:dyDescent="0.3">
      <c r="A652" s="10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9"/>
      <c r="AK652" s="9"/>
      <c r="AL652" s="9"/>
    </row>
    <row r="653" spans="1:38" x14ac:dyDescent="0.3">
      <c r="A653" s="10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9"/>
      <c r="AK653" s="9"/>
      <c r="AL653" s="9"/>
    </row>
    <row r="654" spans="1:38" x14ac:dyDescent="0.3">
      <c r="A654" s="10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9"/>
      <c r="AK654" s="9"/>
      <c r="AL654" s="9"/>
    </row>
    <row r="655" spans="1:38" x14ac:dyDescent="0.3">
      <c r="A655" s="10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9"/>
      <c r="AK655" s="9"/>
      <c r="AL655" s="9"/>
    </row>
    <row r="656" spans="1:38" x14ac:dyDescent="0.3">
      <c r="A656" s="10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9"/>
      <c r="AK656" s="9"/>
      <c r="AL656" s="9"/>
    </row>
    <row r="657" spans="1:38" x14ac:dyDescent="0.3">
      <c r="A657" s="10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9"/>
      <c r="AK657" s="9"/>
      <c r="AL657" s="9"/>
    </row>
    <row r="658" spans="1:38" x14ac:dyDescent="0.3">
      <c r="A658" s="10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9"/>
      <c r="AK658" s="9"/>
      <c r="AL658" s="9"/>
    </row>
    <row r="659" spans="1:38" x14ac:dyDescent="0.3">
      <c r="A659" s="10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9"/>
      <c r="AK659" s="9"/>
      <c r="AL659" s="9"/>
    </row>
    <row r="660" spans="1:38" x14ac:dyDescent="0.3">
      <c r="A660" s="10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9"/>
      <c r="AK660" s="9"/>
      <c r="AL660" s="9"/>
    </row>
    <row r="661" spans="1:38" x14ac:dyDescent="0.3">
      <c r="A661" s="10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9"/>
      <c r="AK661" s="9"/>
      <c r="AL661" s="9"/>
    </row>
    <row r="662" spans="1:38" x14ac:dyDescent="0.3">
      <c r="A662" s="10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9"/>
      <c r="AK662" s="9"/>
      <c r="AL662" s="9"/>
    </row>
    <row r="663" spans="1:38" x14ac:dyDescent="0.3">
      <c r="A663" s="10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9"/>
      <c r="AK663" s="9"/>
      <c r="AL663" s="9"/>
    </row>
    <row r="664" spans="1:38" x14ac:dyDescent="0.3">
      <c r="A664" s="10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9"/>
      <c r="AK664" s="9"/>
      <c r="AL664" s="9"/>
    </row>
    <row r="665" spans="1:38" x14ac:dyDescent="0.3">
      <c r="A665" s="10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9"/>
      <c r="AK665" s="9"/>
      <c r="AL665" s="9"/>
    </row>
    <row r="666" spans="1:38" x14ac:dyDescent="0.3">
      <c r="A666" s="10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9"/>
      <c r="AK666" s="9"/>
      <c r="AL666" s="9"/>
    </row>
    <row r="667" spans="1:38" x14ac:dyDescent="0.3">
      <c r="A667" s="10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9"/>
      <c r="AK667" s="9"/>
      <c r="AL667" s="9"/>
    </row>
    <row r="668" spans="1:38" x14ac:dyDescent="0.3">
      <c r="A668" s="10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9"/>
      <c r="AK668" s="9"/>
      <c r="AL668" s="9"/>
    </row>
    <row r="669" spans="1:38" x14ac:dyDescent="0.3">
      <c r="A669" s="10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9"/>
      <c r="AK669" s="9"/>
      <c r="AL669" s="9"/>
    </row>
    <row r="670" spans="1:38" x14ac:dyDescent="0.3">
      <c r="A670" s="10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9"/>
      <c r="AK670" s="9"/>
      <c r="AL670" s="9"/>
    </row>
    <row r="671" spans="1:38" x14ac:dyDescent="0.3">
      <c r="A671" s="10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9"/>
      <c r="AK671" s="9"/>
      <c r="AL671" s="9"/>
    </row>
    <row r="672" spans="1:38" x14ac:dyDescent="0.3">
      <c r="A672" s="10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9"/>
      <c r="AK672" s="9"/>
      <c r="AL672" s="9"/>
    </row>
    <row r="673" spans="1:38" x14ac:dyDescent="0.3">
      <c r="A673" s="10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9"/>
      <c r="AK673" s="9"/>
      <c r="AL673" s="9"/>
    </row>
    <row r="674" spans="1:38" x14ac:dyDescent="0.3">
      <c r="A674" s="10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9"/>
      <c r="AK674" s="9"/>
      <c r="AL674" s="9"/>
    </row>
    <row r="675" spans="1:38" x14ac:dyDescent="0.3">
      <c r="A675" s="10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9"/>
      <c r="AK675" s="9"/>
      <c r="AL675" s="9"/>
    </row>
    <row r="676" spans="1:38" x14ac:dyDescent="0.3">
      <c r="A676" s="10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9"/>
      <c r="AK676" s="9"/>
      <c r="AL676" s="9"/>
    </row>
    <row r="677" spans="1:38" x14ac:dyDescent="0.3">
      <c r="A677" s="10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9"/>
      <c r="AK677" s="9"/>
      <c r="AL677" s="9"/>
    </row>
    <row r="678" spans="1:38" x14ac:dyDescent="0.3">
      <c r="A678" s="10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9"/>
      <c r="AK678" s="9"/>
      <c r="AL678" s="9"/>
    </row>
    <row r="679" spans="1:38" x14ac:dyDescent="0.3">
      <c r="A679" s="10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9"/>
      <c r="AK679" s="9"/>
      <c r="AL679" s="9"/>
    </row>
    <row r="680" spans="1:38" x14ac:dyDescent="0.3">
      <c r="A680" s="10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9"/>
      <c r="AK680" s="9"/>
      <c r="AL680" s="9"/>
    </row>
    <row r="681" spans="1:38" x14ac:dyDescent="0.3">
      <c r="A681" s="10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9"/>
      <c r="AK681" s="9"/>
      <c r="AL681" s="9"/>
    </row>
    <row r="682" spans="1:38" x14ac:dyDescent="0.3">
      <c r="A682" s="10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9"/>
      <c r="AK682" s="9"/>
      <c r="AL682" s="9"/>
    </row>
    <row r="683" spans="1:38" x14ac:dyDescent="0.3">
      <c r="A683" s="10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9"/>
      <c r="AK683" s="9"/>
      <c r="AL683" s="9"/>
    </row>
    <row r="684" spans="1:38" x14ac:dyDescent="0.3">
      <c r="A684" s="10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9"/>
      <c r="AK684" s="9"/>
      <c r="AL684" s="9"/>
    </row>
    <row r="685" spans="1:38" x14ac:dyDescent="0.3">
      <c r="A685" s="10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9"/>
      <c r="AK685" s="9"/>
      <c r="AL685" s="9"/>
    </row>
    <row r="686" spans="1:38" x14ac:dyDescent="0.3">
      <c r="A686" s="10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9"/>
      <c r="AK686" s="9"/>
      <c r="AL686" s="9"/>
    </row>
    <row r="687" spans="1:38" x14ac:dyDescent="0.3">
      <c r="A687" s="10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9"/>
      <c r="AK687" s="9"/>
      <c r="AL687" s="9"/>
    </row>
    <row r="688" spans="1:38" x14ac:dyDescent="0.3">
      <c r="A688" s="10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9"/>
      <c r="AK688" s="9"/>
      <c r="AL688" s="9"/>
    </row>
    <row r="689" spans="1:38" x14ac:dyDescent="0.3">
      <c r="A689" s="10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9"/>
      <c r="AK689" s="9"/>
      <c r="AL689" s="9"/>
    </row>
    <row r="690" spans="1:38" x14ac:dyDescent="0.3">
      <c r="A690" s="10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9"/>
      <c r="AK690" s="9"/>
      <c r="AL690" s="9"/>
    </row>
    <row r="691" spans="1:38" x14ac:dyDescent="0.3">
      <c r="A691" s="10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9"/>
      <c r="AK691" s="9"/>
      <c r="AL691" s="9"/>
    </row>
    <row r="692" spans="1:38" x14ac:dyDescent="0.3">
      <c r="A692" s="10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9"/>
      <c r="AK692" s="9"/>
      <c r="AL692" s="9"/>
    </row>
    <row r="693" spans="1:38" x14ac:dyDescent="0.3">
      <c r="A693" s="10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9"/>
      <c r="AK693" s="9"/>
      <c r="AL693" s="9"/>
    </row>
    <row r="694" spans="1:38" x14ac:dyDescent="0.3">
      <c r="A694" s="10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9"/>
      <c r="AK694" s="9"/>
      <c r="AL694" s="9"/>
    </row>
    <row r="695" spans="1:38" x14ac:dyDescent="0.3">
      <c r="A695" s="10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9"/>
      <c r="AK695" s="9"/>
      <c r="AL695" s="9"/>
    </row>
    <row r="696" spans="1:38" x14ac:dyDescent="0.3">
      <c r="A696" s="10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9"/>
      <c r="AK696" s="9"/>
      <c r="AL696" s="9"/>
    </row>
    <row r="697" spans="1:38" x14ac:dyDescent="0.3">
      <c r="A697" s="10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9"/>
      <c r="AK697" s="9"/>
      <c r="AL697" s="9"/>
    </row>
    <row r="698" spans="1:38" x14ac:dyDescent="0.3">
      <c r="A698" s="10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9"/>
      <c r="AK698" s="9"/>
      <c r="AL698" s="9"/>
    </row>
    <row r="699" spans="1:38" x14ac:dyDescent="0.3">
      <c r="A699" s="10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9"/>
      <c r="AK699" s="9"/>
      <c r="AL699" s="9"/>
    </row>
    <row r="700" spans="1:38" x14ac:dyDescent="0.3">
      <c r="A700" s="10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9"/>
      <c r="AK700" s="9"/>
      <c r="AL700" s="9"/>
    </row>
    <row r="701" spans="1:38" x14ac:dyDescent="0.3">
      <c r="A701" s="10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9"/>
      <c r="AK701" s="9"/>
      <c r="AL701" s="9"/>
    </row>
    <row r="702" spans="1:38" x14ac:dyDescent="0.3">
      <c r="A702" s="10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9"/>
      <c r="AK702" s="9"/>
      <c r="AL702" s="9"/>
    </row>
    <row r="703" spans="1:38" x14ac:dyDescent="0.3">
      <c r="A703" s="10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9"/>
      <c r="AK703" s="9"/>
      <c r="AL703" s="9"/>
    </row>
    <row r="704" spans="1:38" x14ac:dyDescent="0.3">
      <c r="A704" s="10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9"/>
      <c r="AK704" s="9"/>
      <c r="AL704" s="9"/>
    </row>
    <row r="705" spans="1:38" x14ac:dyDescent="0.3">
      <c r="A705" s="10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9"/>
      <c r="AK705" s="9"/>
      <c r="AL705" s="9"/>
    </row>
    <row r="706" spans="1:38" x14ac:dyDescent="0.3">
      <c r="A706" s="10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9"/>
      <c r="AK706" s="9"/>
      <c r="AL706" s="9"/>
    </row>
    <row r="707" spans="1:38" x14ac:dyDescent="0.3">
      <c r="A707" s="10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9"/>
      <c r="AK707" s="9"/>
      <c r="AL707" s="9"/>
    </row>
    <row r="708" spans="1:38" x14ac:dyDescent="0.3">
      <c r="A708" s="10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9"/>
      <c r="AK708" s="9"/>
      <c r="AL708" s="9"/>
    </row>
    <row r="709" spans="1:38" x14ac:dyDescent="0.3">
      <c r="A709" s="11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  <c r="AJ709" s="9"/>
      <c r="AK709" s="9"/>
      <c r="AL709" s="9"/>
    </row>
    <row r="710" spans="1:38" x14ac:dyDescent="0.3">
      <c r="A710" s="11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  <c r="AJ710" s="9"/>
      <c r="AK710" s="9"/>
      <c r="AL710" s="9"/>
    </row>
    <row r="711" spans="1:38" x14ac:dyDescent="0.3">
      <c r="A711" s="11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  <c r="AJ711" s="9"/>
      <c r="AK711" s="9"/>
      <c r="AL711" s="9"/>
    </row>
    <row r="712" spans="1:38" x14ac:dyDescent="0.3">
      <c r="A712" s="11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  <c r="AJ712" s="9"/>
      <c r="AK712" s="9"/>
      <c r="AL712" s="9"/>
    </row>
    <row r="713" spans="1:38" x14ac:dyDescent="0.3">
      <c r="A713" s="11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  <c r="AJ713" s="9"/>
      <c r="AK713" s="9"/>
      <c r="AL713" s="9"/>
    </row>
    <row r="714" spans="1:38" x14ac:dyDescent="0.3">
      <c r="A714" s="11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  <c r="AJ714" s="9"/>
      <c r="AK714" s="9"/>
      <c r="AL714" s="9"/>
    </row>
    <row r="715" spans="1:38" x14ac:dyDescent="0.3">
      <c r="A715" s="11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  <c r="AJ715" s="9"/>
      <c r="AK715" s="9"/>
      <c r="AL715" s="9"/>
    </row>
    <row r="716" spans="1:38" x14ac:dyDescent="0.3">
      <c r="A716" s="11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  <c r="AJ716" s="9"/>
      <c r="AK716" s="9"/>
      <c r="AL716" s="9"/>
    </row>
    <row r="717" spans="1:38" x14ac:dyDescent="0.3">
      <c r="A717" s="11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  <c r="AJ717" s="9"/>
      <c r="AK717" s="9"/>
      <c r="AL717" s="9"/>
    </row>
    <row r="718" spans="1:38" x14ac:dyDescent="0.3">
      <c r="A718" s="11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  <c r="AJ718" s="9"/>
      <c r="AK718" s="9"/>
      <c r="AL718" s="9"/>
    </row>
    <row r="719" spans="1:38" x14ac:dyDescent="0.3">
      <c r="A719" s="11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  <c r="AJ719" s="9"/>
      <c r="AK719" s="9"/>
      <c r="AL719" s="9"/>
    </row>
    <row r="720" spans="1:38" x14ac:dyDescent="0.3">
      <c r="A720" s="11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  <c r="AJ720" s="9"/>
      <c r="AK720" s="9"/>
      <c r="AL720" s="9"/>
    </row>
    <row r="721" spans="1:38" x14ac:dyDescent="0.3">
      <c r="A721" s="11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  <c r="AJ721" s="9"/>
      <c r="AK721" s="9"/>
      <c r="AL721" s="9"/>
    </row>
    <row r="722" spans="1:38" x14ac:dyDescent="0.3">
      <c r="A722" s="11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  <c r="AJ722" s="9"/>
      <c r="AK722" s="9"/>
      <c r="AL722" s="9"/>
    </row>
    <row r="723" spans="1:38" x14ac:dyDescent="0.3">
      <c r="A723" s="11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  <c r="AH723" s="9"/>
      <c r="AI723" s="9"/>
      <c r="AJ723" s="9"/>
      <c r="AK723" s="9"/>
      <c r="AL723" s="9"/>
    </row>
    <row r="724" spans="1:38" x14ac:dyDescent="0.3">
      <c r="A724" s="11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  <c r="AH724" s="9"/>
      <c r="AI724" s="9"/>
      <c r="AJ724" s="9"/>
      <c r="AK724" s="9"/>
      <c r="AL724" s="9"/>
    </row>
    <row r="725" spans="1:38" x14ac:dyDescent="0.3">
      <c r="A725" s="11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  <c r="AH725" s="9"/>
      <c r="AI725" s="9"/>
      <c r="AJ725" s="9"/>
      <c r="AK725" s="9"/>
      <c r="AL725" s="9"/>
    </row>
    <row r="726" spans="1:38" x14ac:dyDescent="0.3">
      <c r="A726" s="11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  <c r="AH726" s="9"/>
      <c r="AI726" s="9"/>
      <c r="AJ726" s="9"/>
      <c r="AK726" s="9"/>
      <c r="AL726" s="9"/>
    </row>
    <row r="727" spans="1:38" x14ac:dyDescent="0.3">
      <c r="A727" s="11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  <c r="AH727" s="9"/>
      <c r="AI727" s="9"/>
      <c r="AJ727" s="9"/>
      <c r="AK727" s="9"/>
      <c r="AL727" s="9"/>
    </row>
    <row r="728" spans="1:38" x14ac:dyDescent="0.3">
      <c r="A728" s="11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  <c r="AH728" s="9"/>
      <c r="AI728" s="9"/>
      <c r="AJ728" s="9"/>
      <c r="AK728" s="9"/>
      <c r="AL728" s="9"/>
    </row>
    <row r="729" spans="1:38" x14ac:dyDescent="0.3">
      <c r="A729" s="11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  <c r="AH729" s="9"/>
      <c r="AI729" s="9"/>
      <c r="AJ729" s="9"/>
      <c r="AK729" s="9"/>
      <c r="AL729" s="9"/>
    </row>
    <row r="730" spans="1:38" x14ac:dyDescent="0.3">
      <c r="A730" s="11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  <c r="AH730" s="9"/>
      <c r="AI730" s="9"/>
      <c r="AJ730" s="9"/>
      <c r="AK730" s="9"/>
      <c r="AL730" s="9"/>
    </row>
    <row r="731" spans="1:38" x14ac:dyDescent="0.3">
      <c r="A731" s="11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  <c r="AH731" s="9"/>
      <c r="AI731" s="9"/>
      <c r="AJ731" s="9"/>
      <c r="AK731" s="9"/>
      <c r="AL731" s="9"/>
    </row>
    <row r="732" spans="1:38" x14ac:dyDescent="0.3">
      <c r="A732" s="11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  <c r="AH732" s="9"/>
      <c r="AI732" s="9"/>
      <c r="AJ732" s="9"/>
      <c r="AK732" s="9"/>
      <c r="AL732" s="9"/>
    </row>
    <row r="733" spans="1:38" x14ac:dyDescent="0.3">
      <c r="A733" s="11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  <c r="AH733" s="9"/>
      <c r="AI733" s="9"/>
      <c r="AJ733" s="9"/>
      <c r="AK733" s="9"/>
      <c r="AL733" s="9"/>
    </row>
    <row r="734" spans="1:38" x14ac:dyDescent="0.3">
      <c r="A734" s="11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  <c r="AH734" s="9"/>
      <c r="AI734" s="9"/>
      <c r="AJ734" s="9"/>
      <c r="AK734" s="9"/>
      <c r="AL734" s="9"/>
    </row>
    <row r="735" spans="1:38" x14ac:dyDescent="0.3">
      <c r="A735" s="11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  <c r="AH735" s="9"/>
      <c r="AI735" s="9"/>
      <c r="AJ735" s="9"/>
      <c r="AK735" s="9"/>
      <c r="AL735" s="9"/>
    </row>
    <row r="736" spans="1:38" x14ac:dyDescent="0.3">
      <c r="A736" s="11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  <c r="AH736" s="9"/>
      <c r="AI736" s="9"/>
      <c r="AJ736" s="9"/>
      <c r="AK736" s="9"/>
      <c r="AL736" s="9"/>
    </row>
    <row r="737" spans="1:38" x14ac:dyDescent="0.3">
      <c r="A737" s="11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  <c r="AH737" s="9"/>
      <c r="AI737" s="9"/>
      <c r="AJ737" s="9"/>
      <c r="AK737" s="9"/>
      <c r="AL737" s="9"/>
    </row>
    <row r="738" spans="1:38" x14ac:dyDescent="0.3">
      <c r="A738" s="11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  <c r="AH738" s="9"/>
      <c r="AI738" s="9"/>
      <c r="AJ738" s="9"/>
      <c r="AK738" s="9"/>
      <c r="AL738" s="9"/>
    </row>
    <row r="739" spans="1:38" x14ac:dyDescent="0.3">
      <c r="A739" s="11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  <c r="AH739" s="9"/>
      <c r="AI739" s="9"/>
      <c r="AJ739" s="9"/>
      <c r="AK739" s="9"/>
      <c r="AL739" s="9"/>
    </row>
    <row r="740" spans="1:38" x14ac:dyDescent="0.3">
      <c r="A740" s="11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  <c r="AH740" s="9"/>
      <c r="AI740" s="9"/>
      <c r="AJ740" s="9"/>
      <c r="AK740" s="9"/>
      <c r="AL740" s="9"/>
    </row>
    <row r="741" spans="1:38" x14ac:dyDescent="0.3">
      <c r="A741" s="11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  <c r="AH741" s="9"/>
      <c r="AI741" s="9"/>
      <c r="AJ741" s="9"/>
      <c r="AK741" s="9"/>
      <c r="AL741" s="9"/>
    </row>
    <row r="742" spans="1:38" x14ac:dyDescent="0.3">
      <c r="A742" s="11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  <c r="AH742" s="9"/>
      <c r="AI742" s="9"/>
      <c r="AJ742" s="9"/>
      <c r="AK742" s="9"/>
      <c r="AL742" s="9"/>
    </row>
    <row r="743" spans="1:38" x14ac:dyDescent="0.3">
      <c r="A743" s="11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  <c r="AH743" s="9"/>
      <c r="AI743" s="9"/>
      <c r="AJ743" s="9"/>
      <c r="AK743" s="9"/>
      <c r="AL743" s="9"/>
    </row>
    <row r="744" spans="1:38" x14ac:dyDescent="0.3">
      <c r="A744" s="11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  <c r="AH744" s="9"/>
      <c r="AI744" s="9"/>
      <c r="AJ744" s="9"/>
      <c r="AK744" s="9"/>
      <c r="AL744" s="9"/>
    </row>
    <row r="745" spans="1:38" x14ac:dyDescent="0.3">
      <c r="A745" s="11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  <c r="AH745" s="9"/>
      <c r="AI745" s="9"/>
      <c r="AJ745" s="9"/>
      <c r="AK745" s="9"/>
      <c r="AL745" s="9"/>
    </row>
    <row r="746" spans="1:38" x14ac:dyDescent="0.3">
      <c r="A746" s="11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  <c r="AH746" s="9"/>
      <c r="AI746" s="9"/>
      <c r="AJ746" s="9"/>
      <c r="AK746" s="9"/>
      <c r="AL746" s="9"/>
    </row>
    <row r="747" spans="1:38" x14ac:dyDescent="0.3">
      <c r="A747" s="11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  <c r="AH747" s="9"/>
      <c r="AI747" s="9"/>
      <c r="AJ747" s="9"/>
      <c r="AK747" s="9"/>
      <c r="AL747" s="9"/>
    </row>
    <row r="748" spans="1:38" x14ac:dyDescent="0.3">
      <c r="A748" s="11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  <c r="AH748" s="9"/>
      <c r="AI748" s="9"/>
      <c r="AJ748" s="9"/>
      <c r="AK748" s="9"/>
      <c r="AL748" s="9"/>
    </row>
    <row r="749" spans="1:38" x14ac:dyDescent="0.3">
      <c r="A749" s="11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  <c r="AH749" s="9"/>
      <c r="AI749" s="9"/>
      <c r="AJ749" s="9"/>
      <c r="AK749" s="9"/>
      <c r="AL749" s="9"/>
    </row>
    <row r="750" spans="1:38" x14ac:dyDescent="0.3">
      <c r="A750" s="11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  <c r="AH750" s="9"/>
      <c r="AI750" s="9"/>
      <c r="AJ750" s="9"/>
      <c r="AK750" s="9"/>
      <c r="AL750" s="9"/>
    </row>
    <row r="751" spans="1:38" x14ac:dyDescent="0.3">
      <c r="A751" s="11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  <c r="AH751" s="9"/>
      <c r="AI751" s="9"/>
      <c r="AJ751" s="9"/>
      <c r="AK751" s="9"/>
      <c r="AL751" s="9"/>
    </row>
    <row r="752" spans="1:38" x14ac:dyDescent="0.3">
      <c r="A752" s="11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  <c r="AH752" s="9"/>
      <c r="AI752" s="9"/>
      <c r="AJ752" s="9"/>
      <c r="AK752" s="9"/>
      <c r="AL752" s="9"/>
    </row>
    <row r="753" spans="1:38" x14ac:dyDescent="0.3">
      <c r="A753" s="11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  <c r="AH753" s="9"/>
      <c r="AI753" s="9"/>
      <c r="AJ753" s="9"/>
      <c r="AK753" s="9"/>
      <c r="AL753" s="9"/>
    </row>
    <row r="754" spans="1:38" x14ac:dyDescent="0.3">
      <c r="A754" s="11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  <c r="AH754" s="9"/>
      <c r="AI754" s="9"/>
      <c r="AJ754" s="9"/>
      <c r="AK754" s="9"/>
      <c r="AL754" s="9"/>
    </row>
    <row r="755" spans="1:38" x14ac:dyDescent="0.3">
      <c r="A755" s="11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  <c r="AH755" s="9"/>
      <c r="AI755" s="9"/>
      <c r="AJ755" s="9"/>
      <c r="AK755" s="9"/>
      <c r="AL755" s="9"/>
    </row>
    <row r="756" spans="1:38" x14ac:dyDescent="0.3">
      <c r="A756" s="11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  <c r="AH756" s="9"/>
      <c r="AI756" s="9"/>
      <c r="AJ756" s="9"/>
      <c r="AK756" s="9"/>
      <c r="AL756" s="9"/>
    </row>
    <row r="757" spans="1:38" x14ac:dyDescent="0.3">
      <c r="A757" s="11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  <c r="AH757" s="9"/>
      <c r="AI757" s="9"/>
      <c r="AJ757" s="9"/>
      <c r="AK757" s="9"/>
      <c r="AL757" s="9"/>
    </row>
    <row r="758" spans="1:38" x14ac:dyDescent="0.3">
      <c r="A758" s="11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  <c r="AH758" s="9"/>
      <c r="AI758" s="9"/>
      <c r="AJ758" s="9"/>
      <c r="AK758" s="9"/>
      <c r="AL758" s="9"/>
    </row>
    <row r="759" spans="1:38" x14ac:dyDescent="0.3">
      <c r="A759" s="11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  <c r="AH759" s="9"/>
      <c r="AI759" s="9"/>
      <c r="AJ759" s="9"/>
      <c r="AK759" s="9"/>
      <c r="AL759" s="9"/>
    </row>
    <row r="760" spans="1:38" x14ac:dyDescent="0.3">
      <c r="A760" s="11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  <c r="AH760" s="9"/>
      <c r="AI760" s="9"/>
      <c r="AJ760" s="9"/>
      <c r="AK760" s="9"/>
      <c r="AL760" s="9"/>
    </row>
    <row r="761" spans="1:38" x14ac:dyDescent="0.3">
      <c r="A761" s="11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  <c r="AH761" s="9"/>
      <c r="AI761" s="9"/>
      <c r="AJ761" s="9"/>
      <c r="AK761" s="9"/>
      <c r="AL761" s="9"/>
    </row>
    <row r="762" spans="1:38" x14ac:dyDescent="0.3">
      <c r="A762" s="11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  <c r="AH762" s="9"/>
      <c r="AI762" s="9"/>
      <c r="AJ762" s="9"/>
      <c r="AK762" s="9"/>
      <c r="AL762" s="9"/>
    </row>
    <row r="763" spans="1:38" x14ac:dyDescent="0.3">
      <c r="A763" s="11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  <c r="AH763" s="9"/>
      <c r="AI763" s="9"/>
      <c r="AJ763" s="9"/>
      <c r="AK763" s="9"/>
      <c r="AL763" s="9"/>
    </row>
    <row r="764" spans="1:38" x14ac:dyDescent="0.3">
      <c r="A764" s="11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  <c r="AH764" s="9"/>
      <c r="AI764" s="9"/>
      <c r="AJ764" s="9"/>
      <c r="AK764" s="9"/>
      <c r="AL764" s="9"/>
    </row>
    <row r="765" spans="1:38" x14ac:dyDescent="0.3">
      <c r="A765" s="11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  <c r="AH765" s="9"/>
      <c r="AI765" s="9"/>
      <c r="AJ765" s="9"/>
      <c r="AK765" s="9"/>
      <c r="AL765" s="9"/>
    </row>
    <row r="766" spans="1:38" x14ac:dyDescent="0.3">
      <c r="A766" s="11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  <c r="AH766" s="9"/>
      <c r="AI766" s="9"/>
      <c r="AJ766" s="9"/>
      <c r="AK766" s="9"/>
      <c r="AL766" s="9"/>
    </row>
    <row r="767" spans="1:38" x14ac:dyDescent="0.3">
      <c r="A767" s="11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  <c r="AH767" s="9"/>
      <c r="AI767" s="9"/>
      <c r="AJ767" s="9"/>
      <c r="AK767" s="9"/>
      <c r="AL767" s="9"/>
    </row>
    <row r="768" spans="1:38" x14ac:dyDescent="0.3">
      <c r="A768" s="11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  <c r="AH768" s="9"/>
      <c r="AI768" s="9"/>
      <c r="AJ768" s="9"/>
      <c r="AK768" s="9"/>
      <c r="AL768" s="9"/>
    </row>
    <row r="769" spans="1:38" x14ac:dyDescent="0.3">
      <c r="A769" s="11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  <c r="AH769" s="9"/>
      <c r="AI769" s="9"/>
      <c r="AJ769" s="9"/>
      <c r="AK769" s="9"/>
      <c r="AL769" s="9"/>
    </row>
    <row r="770" spans="1:38" x14ac:dyDescent="0.3">
      <c r="A770" s="11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  <c r="AH770" s="9"/>
      <c r="AI770" s="9"/>
      <c r="AJ770" s="9"/>
      <c r="AK770" s="9"/>
      <c r="AL770" s="9"/>
    </row>
    <row r="771" spans="1:38" x14ac:dyDescent="0.3">
      <c r="A771" s="11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  <c r="AH771" s="9"/>
      <c r="AI771" s="9"/>
      <c r="AJ771" s="9"/>
      <c r="AK771" s="9"/>
      <c r="AL771" s="9"/>
    </row>
    <row r="772" spans="1:38" x14ac:dyDescent="0.3">
      <c r="A772" s="11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  <c r="AH772" s="9"/>
      <c r="AI772" s="9"/>
      <c r="AJ772" s="9"/>
      <c r="AK772" s="9"/>
      <c r="AL772" s="9"/>
    </row>
    <row r="773" spans="1:38" x14ac:dyDescent="0.3">
      <c r="A773" s="11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  <c r="AH773" s="9"/>
      <c r="AI773" s="9"/>
      <c r="AJ773" s="9"/>
      <c r="AK773" s="9"/>
      <c r="AL773" s="9"/>
    </row>
    <row r="774" spans="1:38" x14ac:dyDescent="0.3">
      <c r="A774" s="11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  <c r="AH774" s="9"/>
      <c r="AI774" s="9"/>
      <c r="AJ774" s="9"/>
      <c r="AK774" s="9"/>
      <c r="AL774" s="9"/>
    </row>
    <row r="775" spans="1:38" x14ac:dyDescent="0.3">
      <c r="A775" s="11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  <c r="AH775" s="9"/>
      <c r="AI775" s="9"/>
      <c r="AJ775" s="9"/>
      <c r="AK775" s="9"/>
      <c r="AL775" s="9"/>
    </row>
    <row r="776" spans="1:38" x14ac:dyDescent="0.3">
      <c r="A776" s="11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  <c r="AH776" s="9"/>
      <c r="AI776" s="9"/>
      <c r="AJ776" s="9"/>
      <c r="AK776" s="9"/>
      <c r="AL776" s="9"/>
    </row>
    <row r="777" spans="1:38" x14ac:dyDescent="0.3">
      <c r="A777" s="11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  <c r="AH777" s="9"/>
      <c r="AI777" s="9"/>
      <c r="AJ777" s="9"/>
      <c r="AK777" s="9"/>
      <c r="AL777" s="9"/>
    </row>
    <row r="778" spans="1:38" x14ac:dyDescent="0.3">
      <c r="A778" s="11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  <c r="AH778" s="9"/>
      <c r="AI778" s="9"/>
      <c r="AJ778" s="9"/>
      <c r="AK778" s="9"/>
      <c r="AL778" s="9"/>
    </row>
    <row r="779" spans="1:38" x14ac:dyDescent="0.3">
      <c r="A779" s="11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  <c r="AH779" s="9"/>
      <c r="AI779" s="9"/>
      <c r="AJ779" s="9"/>
      <c r="AK779" s="9"/>
      <c r="AL779" s="9"/>
    </row>
    <row r="780" spans="1:38" x14ac:dyDescent="0.3">
      <c r="A780" s="11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  <c r="AH780" s="9"/>
      <c r="AI780" s="9"/>
      <c r="AJ780" s="9"/>
      <c r="AK780" s="9"/>
      <c r="AL780" s="9"/>
    </row>
    <row r="781" spans="1:38" x14ac:dyDescent="0.3">
      <c r="A781" s="11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  <c r="AH781" s="9"/>
      <c r="AI781" s="9"/>
      <c r="AJ781" s="9"/>
      <c r="AK781" s="9"/>
      <c r="AL781" s="9"/>
    </row>
    <row r="782" spans="1:38" x14ac:dyDescent="0.3">
      <c r="A782" s="11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  <c r="AH782" s="9"/>
      <c r="AI782" s="9"/>
      <c r="AJ782" s="9"/>
      <c r="AK782" s="9"/>
      <c r="AL782" s="9"/>
    </row>
    <row r="783" spans="1:38" x14ac:dyDescent="0.3">
      <c r="A783" s="11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  <c r="AH783" s="9"/>
      <c r="AI783" s="9"/>
      <c r="AJ783" s="9"/>
      <c r="AK783" s="9"/>
      <c r="AL783" s="9"/>
    </row>
    <row r="784" spans="1:38" x14ac:dyDescent="0.3">
      <c r="A784" s="11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  <c r="AH784" s="9"/>
      <c r="AI784" s="9"/>
      <c r="AJ784" s="9"/>
      <c r="AK784" s="9"/>
      <c r="AL784" s="9"/>
    </row>
    <row r="785" spans="1:38" x14ac:dyDescent="0.3">
      <c r="A785" s="11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  <c r="AH785" s="9"/>
      <c r="AI785" s="9"/>
      <c r="AJ785" s="9"/>
      <c r="AK785" s="9"/>
      <c r="AL785" s="9"/>
    </row>
    <row r="786" spans="1:38" x14ac:dyDescent="0.3">
      <c r="A786" s="11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  <c r="AH786" s="9"/>
      <c r="AI786" s="9"/>
      <c r="AJ786" s="9"/>
      <c r="AK786" s="9"/>
      <c r="AL786" s="9"/>
    </row>
    <row r="787" spans="1:38" x14ac:dyDescent="0.3">
      <c r="A787" s="11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  <c r="AH787" s="9"/>
      <c r="AI787" s="9"/>
      <c r="AJ787" s="9"/>
      <c r="AK787" s="9"/>
      <c r="AL787" s="9"/>
    </row>
    <row r="788" spans="1:38" x14ac:dyDescent="0.3">
      <c r="A788" s="11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  <c r="AH788" s="9"/>
      <c r="AI788" s="9"/>
      <c r="AJ788" s="9"/>
      <c r="AK788" s="9"/>
      <c r="AL788" s="9"/>
    </row>
    <row r="789" spans="1:38" x14ac:dyDescent="0.3">
      <c r="A789" s="11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  <c r="AH789" s="9"/>
      <c r="AI789" s="9"/>
      <c r="AJ789" s="9"/>
      <c r="AK789" s="9"/>
      <c r="AL789" s="9"/>
    </row>
    <row r="790" spans="1:38" x14ac:dyDescent="0.3">
      <c r="A790" s="11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  <c r="AH790" s="9"/>
      <c r="AI790" s="9"/>
      <c r="AJ790" s="9"/>
      <c r="AK790" s="9"/>
      <c r="AL790" s="9"/>
    </row>
    <row r="791" spans="1:38" x14ac:dyDescent="0.3">
      <c r="A791" s="11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  <c r="AH791" s="9"/>
      <c r="AI791" s="9"/>
      <c r="AJ791" s="9"/>
      <c r="AK791" s="9"/>
      <c r="AL791" s="9"/>
    </row>
    <row r="792" spans="1:38" x14ac:dyDescent="0.3">
      <c r="A792" s="11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  <c r="AH792" s="9"/>
      <c r="AI792" s="9"/>
      <c r="AJ792" s="9"/>
      <c r="AK792" s="9"/>
      <c r="AL792" s="9"/>
    </row>
    <row r="793" spans="1:38" x14ac:dyDescent="0.3">
      <c r="A793" s="11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  <c r="AH793" s="9"/>
      <c r="AI793" s="9"/>
      <c r="AJ793" s="9"/>
      <c r="AK793" s="9"/>
      <c r="AL793" s="9"/>
    </row>
    <row r="794" spans="1:38" x14ac:dyDescent="0.3">
      <c r="A794" s="11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  <c r="AH794" s="9"/>
      <c r="AI794" s="9"/>
      <c r="AJ794" s="9"/>
      <c r="AK794" s="9"/>
      <c r="AL794" s="9"/>
    </row>
    <row r="795" spans="1:38" x14ac:dyDescent="0.3">
      <c r="A795" s="11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  <c r="AH795" s="9"/>
      <c r="AI795" s="9"/>
      <c r="AJ795" s="9"/>
      <c r="AK795" s="9"/>
      <c r="AL795" s="9"/>
    </row>
    <row r="796" spans="1:38" x14ac:dyDescent="0.3">
      <c r="A796" s="11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  <c r="AH796" s="9"/>
      <c r="AI796" s="9"/>
      <c r="AJ796" s="9"/>
      <c r="AK796" s="9"/>
      <c r="AL796" s="9"/>
    </row>
    <row r="797" spans="1:38" x14ac:dyDescent="0.3">
      <c r="A797" s="11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  <c r="AH797" s="9"/>
      <c r="AI797" s="9"/>
      <c r="AJ797" s="9"/>
      <c r="AK797" s="9"/>
      <c r="AL797" s="9"/>
    </row>
    <row r="798" spans="1:38" x14ac:dyDescent="0.3">
      <c r="A798" s="11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  <c r="AH798" s="9"/>
      <c r="AI798" s="9"/>
      <c r="AJ798" s="9"/>
      <c r="AK798" s="9"/>
      <c r="AL798" s="9"/>
    </row>
    <row r="799" spans="1:38" x14ac:dyDescent="0.3">
      <c r="A799" s="11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  <c r="AH799" s="9"/>
      <c r="AI799" s="9"/>
      <c r="AJ799" s="9"/>
      <c r="AK799" s="9"/>
      <c r="AL799" s="9"/>
    </row>
    <row r="800" spans="1:38" x14ac:dyDescent="0.3">
      <c r="A800" s="11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  <c r="AH800" s="9"/>
      <c r="AI800" s="9"/>
      <c r="AJ800" s="9"/>
      <c r="AK800" s="9"/>
      <c r="AL800" s="9"/>
    </row>
    <row r="801" spans="1:38" x14ac:dyDescent="0.3">
      <c r="A801" s="11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  <c r="AH801" s="9"/>
      <c r="AI801" s="9"/>
      <c r="AJ801" s="9"/>
      <c r="AK801" s="9"/>
      <c r="AL801" s="9"/>
    </row>
    <row r="802" spans="1:38" x14ac:dyDescent="0.3">
      <c r="A802" s="11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  <c r="AH802" s="9"/>
      <c r="AI802" s="9"/>
      <c r="AJ802" s="9"/>
      <c r="AK802" s="9"/>
      <c r="AL802" s="9"/>
    </row>
    <row r="803" spans="1:38" x14ac:dyDescent="0.3">
      <c r="A803" s="11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  <c r="AH803" s="9"/>
      <c r="AI803" s="9"/>
      <c r="AJ803" s="9"/>
      <c r="AK803" s="9"/>
      <c r="AL803" s="9"/>
    </row>
    <row r="804" spans="1:38" x14ac:dyDescent="0.3">
      <c r="A804" s="11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  <c r="AH804" s="9"/>
      <c r="AI804" s="9"/>
      <c r="AJ804" s="9"/>
      <c r="AK804" s="9"/>
      <c r="AL804" s="9"/>
    </row>
    <row r="805" spans="1:38" x14ac:dyDescent="0.3">
      <c r="A805" s="11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  <c r="AH805" s="9"/>
      <c r="AI805" s="9"/>
      <c r="AJ805" s="9"/>
      <c r="AK805" s="9"/>
      <c r="AL805" s="9"/>
    </row>
    <row r="806" spans="1:38" x14ac:dyDescent="0.3">
      <c r="A806" s="11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  <c r="AH806" s="9"/>
      <c r="AI806" s="9"/>
      <c r="AJ806" s="9"/>
      <c r="AK806" s="9"/>
      <c r="AL806" s="9"/>
    </row>
    <row r="807" spans="1:38" x14ac:dyDescent="0.3">
      <c r="A807" s="11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  <c r="AH807" s="9"/>
      <c r="AI807" s="9"/>
      <c r="AJ807" s="9"/>
      <c r="AK807" s="9"/>
      <c r="AL807" s="9"/>
    </row>
    <row r="808" spans="1:38" x14ac:dyDescent="0.3">
      <c r="A808" s="11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  <c r="AH808" s="9"/>
      <c r="AI808" s="9"/>
      <c r="AJ808" s="9"/>
      <c r="AK808" s="9"/>
      <c r="AL808" s="9"/>
    </row>
    <row r="809" spans="1:38" x14ac:dyDescent="0.3">
      <c r="A809" s="11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  <c r="AH809" s="9"/>
      <c r="AI809" s="9"/>
      <c r="AJ809" s="9"/>
      <c r="AK809" s="9"/>
      <c r="AL809" s="9"/>
    </row>
    <row r="810" spans="1:38" x14ac:dyDescent="0.3">
      <c r="A810" s="11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  <c r="AH810" s="9"/>
      <c r="AI810" s="9"/>
      <c r="AJ810" s="9"/>
      <c r="AK810" s="9"/>
      <c r="AL810" s="9"/>
    </row>
    <row r="811" spans="1:38" x14ac:dyDescent="0.3">
      <c r="A811" s="11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  <c r="AH811" s="9"/>
      <c r="AI811" s="9"/>
      <c r="AJ811" s="9"/>
      <c r="AK811" s="9"/>
      <c r="AL811" s="9"/>
    </row>
    <row r="812" spans="1:38" x14ac:dyDescent="0.3">
      <c r="A812" s="11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  <c r="AH812" s="9"/>
      <c r="AI812" s="9"/>
      <c r="AJ812" s="9"/>
      <c r="AK812" s="9"/>
      <c r="AL812" s="9"/>
    </row>
    <row r="813" spans="1:38" x14ac:dyDescent="0.3">
      <c r="A813" s="11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  <c r="AH813" s="9"/>
      <c r="AI813" s="9"/>
      <c r="AJ813" s="9"/>
      <c r="AK813" s="9"/>
      <c r="AL813" s="9"/>
    </row>
    <row r="814" spans="1:38" x14ac:dyDescent="0.3">
      <c r="A814" s="11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  <c r="AH814" s="9"/>
      <c r="AI814" s="9"/>
      <c r="AJ814" s="9"/>
      <c r="AK814" s="9"/>
      <c r="AL814" s="9"/>
    </row>
    <row r="815" spans="1:38" x14ac:dyDescent="0.3">
      <c r="A815" s="11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  <c r="AH815" s="9"/>
      <c r="AI815" s="9"/>
      <c r="AJ815" s="9"/>
      <c r="AK815" s="9"/>
      <c r="AL815" s="9"/>
    </row>
    <row r="816" spans="1:38" x14ac:dyDescent="0.3">
      <c r="A816" s="11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  <c r="AH816" s="9"/>
      <c r="AI816" s="9"/>
      <c r="AJ816" s="9"/>
      <c r="AK816" s="9"/>
      <c r="AL816" s="9"/>
    </row>
    <row r="817" spans="1:38" x14ac:dyDescent="0.3">
      <c r="A817" s="11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  <c r="AH817" s="9"/>
      <c r="AI817" s="9"/>
      <c r="AJ817" s="9"/>
      <c r="AK817" s="9"/>
      <c r="AL817" s="9"/>
    </row>
    <row r="818" spans="1:38" x14ac:dyDescent="0.3">
      <c r="A818" s="11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  <c r="AH818" s="9"/>
      <c r="AI818" s="9"/>
      <c r="AJ818" s="9"/>
      <c r="AK818" s="9"/>
      <c r="AL818" s="9"/>
    </row>
    <row r="819" spans="1:38" x14ac:dyDescent="0.3">
      <c r="A819" s="11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  <c r="AH819" s="9"/>
      <c r="AI819" s="9"/>
      <c r="AJ819" s="9"/>
      <c r="AK819" s="9"/>
      <c r="AL819" s="9"/>
    </row>
    <row r="820" spans="1:38" x14ac:dyDescent="0.3">
      <c r="A820" s="11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  <c r="AH820" s="9"/>
      <c r="AI820" s="9"/>
      <c r="AJ820" s="9"/>
      <c r="AK820" s="9"/>
      <c r="AL820" s="9"/>
    </row>
    <row r="821" spans="1:38" x14ac:dyDescent="0.3">
      <c r="A821" s="11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  <c r="AH821" s="9"/>
      <c r="AI821" s="9"/>
      <c r="AJ821" s="9"/>
      <c r="AK821" s="9"/>
      <c r="AL821" s="9"/>
    </row>
    <row r="822" spans="1:38" x14ac:dyDescent="0.3">
      <c r="A822" s="11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  <c r="AH822" s="9"/>
      <c r="AI822" s="9"/>
      <c r="AJ822" s="9"/>
      <c r="AK822" s="9"/>
      <c r="AL822" s="9"/>
    </row>
    <row r="823" spans="1:38" x14ac:dyDescent="0.3">
      <c r="A823" s="11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  <c r="AH823" s="9"/>
      <c r="AI823" s="9"/>
      <c r="AJ823" s="9"/>
      <c r="AK823" s="9"/>
      <c r="AL823" s="9"/>
    </row>
    <row r="824" spans="1:38" x14ac:dyDescent="0.3">
      <c r="A824" s="11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  <c r="AH824" s="9"/>
      <c r="AI824" s="9"/>
      <c r="AJ824" s="9"/>
      <c r="AK824" s="9"/>
      <c r="AL824" s="9"/>
    </row>
    <row r="825" spans="1:38" x14ac:dyDescent="0.3">
      <c r="A825" s="11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  <c r="AH825" s="9"/>
      <c r="AI825" s="9"/>
      <c r="AJ825" s="9"/>
      <c r="AK825" s="9"/>
      <c r="AL825" s="9"/>
    </row>
    <row r="826" spans="1:38" x14ac:dyDescent="0.3">
      <c r="A826" s="11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  <c r="AH826" s="9"/>
      <c r="AI826" s="9"/>
      <c r="AJ826" s="9"/>
      <c r="AK826" s="9"/>
      <c r="AL826" s="9"/>
    </row>
    <row r="827" spans="1:38" x14ac:dyDescent="0.3">
      <c r="A827" s="11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  <c r="AH827" s="9"/>
      <c r="AI827" s="9"/>
      <c r="AJ827" s="9"/>
      <c r="AK827" s="9"/>
      <c r="AL827" s="9"/>
    </row>
    <row r="828" spans="1:38" x14ac:dyDescent="0.3">
      <c r="A828" s="11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  <c r="AH828" s="9"/>
      <c r="AI828" s="9"/>
      <c r="AJ828" s="9"/>
      <c r="AK828" s="9"/>
      <c r="AL828" s="9"/>
    </row>
    <row r="829" spans="1:38" x14ac:dyDescent="0.3">
      <c r="A829" s="11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  <c r="AH829" s="9"/>
      <c r="AI829" s="9"/>
      <c r="AJ829" s="9"/>
      <c r="AK829" s="9"/>
      <c r="AL829" s="9"/>
    </row>
    <row r="830" spans="1:38" x14ac:dyDescent="0.3">
      <c r="A830" s="11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  <c r="AH830" s="9"/>
      <c r="AI830" s="9"/>
      <c r="AJ830" s="9"/>
      <c r="AK830" s="9"/>
      <c r="AL830" s="9"/>
    </row>
    <row r="831" spans="1:38" x14ac:dyDescent="0.3">
      <c r="A831" s="11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  <c r="AH831" s="9"/>
      <c r="AI831" s="9"/>
      <c r="AJ831" s="9"/>
      <c r="AK831" s="9"/>
      <c r="AL831" s="9"/>
    </row>
    <row r="832" spans="1:38" x14ac:dyDescent="0.3">
      <c r="A832" s="11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  <c r="AH832" s="9"/>
      <c r="AI832" s="9"/>
      <c r="AJ832" s="9"/>
      <c r="AK832" s="9"/>
      <c r="AL832" s="9"/>
    </row>
    <row r="833" spans="1:38" x14ac:dyDescent="0.3">
      <c r="A833" s="11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  <c r="AH833" s="9"/>
      <c r="AI833" s="9"/>
      <c r="AJ833" s="9"/>
      <c r="AK833" s="9"/>
      <c r="AL833" s="9"/>
    </row>
    <row r="834" spans="1:38" x14ac:dyDescent="0.3">
      <c r="A834" s="11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  <c r="AH834" s="9"/>
      <c r="AI834" s="9"/>
      <c r="AJ834" s="9"/>
      <c r="AK834" s="9"/>
      <c r="AL834" s="9"/>
    </row>
    <row r="835" spans="1:38" x14ac:dyDescent="0.3">
      <c r="A835" s="11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  <c r="AH835" s="9"/>
      <c r="AI835" s="9"/>
      <c r="AJ835" s="9"/>
      <c r="AK835" s="9"/>
      <c r="AL835" s="9"/>
    </row>
    <row r="836" spans="1:38" x14ac:dyDescent="0.3">
      <c r="A836" s="11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  <c r="AH836" s="9"/>
      <c r="AI836" s="9"/>
      <c r="AJ836" s="9"/>
      <c r="AK836" s="9"/>
      <c r="AL836" s="9"/>
    </row>
    <row r="837" spans="1:38" x14ac:dyDescent="0.3">
      <c r="A837" s="11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  <c r="AH837" s="9"/>
      <c r="AI837" s="9"/>
      <c r="AJ837" s="9"/>
      <c r="AK837" s="9"/>
      <c r="AL837" s="9"/>
    </row>
    <row r="838" spans="1:38" x14ac:dyDescent="0.3">
      <c r="A838" s="11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  <c r="AH838" s="9"/>
      <c r="AI838" s="9"/>
      <c r="AJ838" s="9"/>
      <c r="AK838" s="9"/>
      <c r="AL838" s="9"/>
    </row>
    <row r="839" spans="1:38" x14ac:dyDescent="0.3">
      <c r="A839" s="11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  <c r="AH839" s="9"/>
      <c r="AI839" s="9"/>
      <c r="AJ839" s="9"/>
      <c r="AK839" s="9"/>
      <c r="AL839" s="9"/>
    </row>
    <row r="840" spans="1:38" x14ac:dyDescent="0.3">
      <c r="A840" s="11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  <c r="AH840" s="9"/>
      <c r="AI840" s="9"/>
      <c r="AJ840" s="9"/>
      <c r="AK840" s="9"/>
      <c r="AL840" s="9"/>
    </row>
    <row r="841" spans="1:38" x14ac:dyDescent="0.3">
      <c r="A841" s="11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  <c r="AH841" s="9"/>
      <c r="AI841" s="9"/>
      <c r="AJ841" s="9"/>
      <c r="AK841" s="9"/>
      <c r="AL841" s="9"/>
    </row>
    <row r="842" spans="1:38" x14ac:dyDescent="0.3">
      <c r="A842" s="11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  <c r="AH842" s="9"/>
      <c r="AI842" s="9"/>
      <c r="AJ842" s="9"/>
      <c r="AK842" s="9"/>
      <c r="AL842" s="9"/>
    </row>
    <row r="843" spans="1:38" x14ac:dyDescent="0.3">
      <c r="A843" s="11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  <c r="AH843" s="9"/>
      <c r="AI843" s="9"/>
      <c r="AJ843" s="9"/>
      <c r="AK843" s="9"/>
      <c r="AL843" s="9"/>
    </row>
    <row r="844" spans="1:38" x14ac:dyDescent="0.3">
      <c r="A844" s="11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  <c r="AH844" s="9"/>
      <c r="AI844" s="9"/>
      <c r="AJ844" s="9"/>
      <c r="AK844" s="9"/>
      <c r="AL844" s="9"/>
    </row>
    <row r="845" spans="1:38" x14ac:dyDescent="0.3">
      <c r="A845" s="11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  <c r="AH845" s="9"/>
      <c r="AI845" s="9"/>
      <c r="AJ845" s="9"/>
      <c r="AK845" s="9"/>
      <c r="AL845" s="9"/>
    </row>
    <row r="846" spans="1:38" x14ac:dyDescent="0.3">
      <c r="A846" s="11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  <c r="AH846" s="9"/>
      <c r="AI846" s="9"/>
      <c r="AJ846" s="9"/>
      <c r="AK846" s="9"/>
      <c r="AL846" s="9"/>
    </row>
    <row r="847" spans="1:38" x14ac:dyDescent="0.3">
      <c r="A847" s="11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  <c r="AH847" s="9"/>
      <c r="AI847" s="9"/>
      <c r="AJ847" s="9"/>
      <c r="AK847" s="9"/>
      <c r="AL847" s="9"/>
    </row>
    <row r="848" spans="1:38" x14ac:dyDescent="0.3">
      <c r="A848" s="11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  <c r="AH848" s="9"/>
      <c r="AI848" s="9"/>
      <c r="AJ848" s="9"/>
      <c r="AK848" s="9"/>
      <c r="AL848" s="9"/>
    </row>
    <row r="849" spans="1:38" x14ac:dyDescent="0.3">
      <c r="A849" s="11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  <c r="AH849" s="9"/>
      <c r="AI849" s="9"/>
      <c r="AJ849" s="9"/>
      <c r="AK849" s="9"/>
      <c r="AL849" s="9"/>
    </row>
    <row r="850" spans="1:38" x14ac:dyDescent="0.3">
      <c r="A850" s="11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  <c r="AH850" s="9"/>
      <c r="AI850" s="9"/>
      <c r="AJ850" s="9"/>
      <c r="AK850" s="9"/>
      <c r="AL850" s="9"/>
    </row>
    <row r="851" spans="1:38" x14ac:dyDescent="0.3">
      <c r="A851" s="11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  <c r="AH851" s="9"/>
      <c r="AI851" s="9"/>
      <c r="AJ851" s="9"/>
      <c r="AK851" s="9"/>
      <c r="AL851" s="9"/>
    </row>
    <row r="852" spans="1:38" x14ac:dyDescent="0.3">
      <c r="A852" s="11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  <c r="AH852" s="9"/>
      <c r="AI852" s="9"/>
      <c r="AJ852" s="9"/>
      <c r="AK852" s="9"/>
      <c r="AL852" s="9"/>
    </row>
    <row r="853" spans="1:38" x14ac:dyDescent="0.3">
      <c r="A853" s="11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  <c r="AH853" s="9"/>
      <c r="AI853" s="9"/>
      <c r="AJ853" s="9"/>
      <c r="AK853" s="9"/>
      <c r="AL853" s="9"/>
    </row>
    <row r="854" spans="1:38" x14ac:dyDescent="0.3">
      <c r="A854" s="11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  <c r="AH854" s="9"/>
      <c r="AI854" s="9"/>
      <c r="AJ854" s="9"/>
      <c r="AK854" s="9"/>
      <c r="AL854" s="9"/>
    </row>
    <row r="855" spans="1:38" x14ac:dyDescent="0.3">
      <c r="A855" s="11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  <c r="AH855" s="9"/>
      <c r="AI855" s="9"/>
      <c r="AJ855" s="9"/>
      <c r="AK855" s="9"/>
      <c r="AL855" s="9"/>
    </row>
    <row r="856" spans="1:38" x14ac:dyDescent="0.3">
      <c r="A856" s="11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  <c r="AH856" s="9"/>
      <c r="AI856" s="9"/>
      <c r="AJ856" s="9"/>
      <c r="AK856" s="9"/>
      <c r="AL856" s="9"/>
    </row>
    <row r="857" spans="1:38" x14ac:dyDescent="0.3">
      <c r="A857" s="11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  <c r="AH857" s="9"/>
      <c r="AI857" s="9"/>
      <c r="AJ857" s="9"/>
      <c r="AK857" s="9"/>
      <c r="AL857" s="9"/>
    </row>
    <row r="858" spans="1:38" x14ac:dyDescent="0.3">
      <c r="A858" s="11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  <c r="AH858" s="9"/>
      <c r="AI858" s="9"/>
      <c r="AJ858" s="9"/>
      <c r="AK858" s="9"/>
      <c r="AL858" s="9"/>
    </row>
    <row r="859" spans="1:38" x14ac:dyDescent="0.3">
      <c r="A859" s="11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  <c r="AH859" s="9"/>
      <c r="AI859" s="9"/>
      <c r="AJ859" s="9"/>
      <c r="AK859" s="9"/>
      <c r="AL859" s="9"/>
    </row>
    <row r="860" spans="1:38" x14ac:dyDescent="0.3">
      <c r="A860" s="11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  <c r="AH860" s="9"/>
      <c r="AI860" s="9"/>
      <c r="AJ860" s="9"/>
      <c r="AK860" s="9"/>
      <c r="AL860" s="9"/>
    </row>
    <row r="861" spans="1:38" x14ac:dyDescent="0.3">
      <c r="A861" s="11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  <c r="AH861" s="9"/>
      <c r="AI861" s="9"/>
      <c r="AJ861" s="9"/>
      <c r="AK861" s="9"/>
      <c r="AL861" s="9"/>
    </row>
    <row r="862" spans="1:38" x14ac:dyDescent="0.3">
      <c r="A862" s="11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  <c r="AH862" s="9"/>
      <c r="AI862" s="9"/>
      <c r="AJ862" s="9"/>
      <c r="AK862" s="9"/>
      <c r="AL862" s="9"/>
    </row>
    <row r="863" spans="1:38" x14ac:dyDescent="0.3">
      <c r="A863" s="11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  <c r="AH863" s="9"/>
      <c r="AI863" s="9"/>
      <c r="AJ863" s="9"/>
      <c r="AK863" s="9"/>
      <c r="AL863" s="9"/>
    </row>
    <row r="864" spans="1:38" x14ac:dyDescent="0.3">
      <c r="A864" s="11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  <c r="AH864" s="9"/>
      <c r="AI864" s="9"/>
      <c r="AJ864" s="9"/>
      <c r="AK864" s="9"/>
      <c r="AL864" s="9"/>
    </row>
    <row r="865" spans="1:38" x14ac:dyDescent="0.3">
      <c r="A865" s="11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  <c r="AH865" s="9"/>
      <c r="AI865" s="9"/>
      <c r="AJ865" s="9"/>
      <c r="AK865" s="9"/>
      <c r="AL865" s="9"/>
    </row>
    <row r="866" spans="1:38" x14ac:dyDescent="0.3">
      <c r="A866" s="11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  <c r="AH866" s="9"/>
      <c r="AI866" s="9"/>
      <c r="AJ866" s="9"/>
      <c r="AK866" s="9"/>
      <c r="AL866" s="9"/>
    </row>
    <row r="867" spans="1:38" x14ac:dyDescent="0.3">
      <c r="A867" s="11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  <c r="AH867" s="9"/>
      <c r="AI867" s="9"/>
      <c r="AJ867" s="9"/>
      <c r="AK867" s="9"/>
      <c r="AL867" s="9"/>
    </row>
    <row r="868" spans="1:38" x14ac:dyDescent="0.3">
      <c r="A868" s="11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  <c r="AH868" s="9"/>
      <c r="AI868" s="9"/>
      <c r="AJ868" s="9"/>
      <c r="AK868" s="9"/>
      <c r="AL868" s="9"/>
    </row>
    <row r="869" spans="1:38" x14ac:dyDescent="0.3">
      <c r="A869" s="11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  <c r="AH869" s="9"/>
      <c r="AI869" s="9"/>
      <c r="AJ869" s="9"/>
      <c r="AK869" s="9"/>
      <c r="AL869" s="9"/>
    </row>
    <row r="870" spans="1:38" x14ac:dyDescent="0.3">
      <c r="A870" s="11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  <c r="AH870" s="9"/>
      <c r="AI870" s="9"/>
      <c r="AJ870" s="9"/>
      <c r="AK870" s="9"/>
      <c r="AL870" s="9"/>
    </row>
    <row r="871" spans="1:38" x14ac:dyDescent="0.3">
      <c r="A871" s="11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  <c r="AH871" s="9"/>
      <c r="AI871" s="9"/>
      <c r="AJ871" s="9"/>
      <c r="AK871" s="9"/>
      <c r="AL871" s="9"/>
    </row>
    <row r="872" spans="1:38" x14ac:dyDescent="0.3">
      <c r="A872" s="11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  <c r="AH872" s="9"/>
      <c r="AI872" s="9"/>
      <c r="AJ872" s="9"/>
      <c r="AK872" s="9"/>
      <c r="AL872" s="9"/>
    </row>
    <row r="873" spans="1:38" x14ac:dyDescent="0.3">
      <c r="A873" s="11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  <c r="AH873" s="9"/>
      <c r="AI873" s="9"/>
      <c r="AJ873" s="9"/>
      <c r="AK873" s="9"/>
      <c r="AL873" s="9"/>
    </row>
    <row r="874" spans="1:38" x14ac:dyDescent="0.3">
      <c r="A874" s="11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  <c r="AH874" s="9"/>
      <c r="AI874" s="9"/>
      <c r="AJ874" s="9"/>
      <c r="AK874" s="9"/>
      <c r="AL874" s="9"/>
    </row>
    <row r="875" spans="1:38" x14ac:dyDescent="0.3">
      <c r="A875" s="11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  <c r="AH875" s="9"/>
      <c r="AI875" s="9"/>
      <c r="AJ875" s="9"/>
      <c r="AK875" s="9"/>
      <c r="AL875" s="9"/>
    </row>
    <row r="876" spans="1:38" x14ac:dyDescent="0.3">
      <c r="A876" s="11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  <c r="AH876" s="9"/>
      <c r="AI876" s="9"/>
      <c r="AJ876" s="9"/>
      <c r="AK876" s="9"/>
      <c r="AL876" s="9"/>
    </row>
    <row r="877" spans="1:38" x14ac:dyDescent="0.3">
      <c r="A877" s="11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  <c r="AH877" s="9"/>
      <c r="AI877" s="9"/>
      <c r="AJ877" s="9"/>
      <c r="AK877" s="9"/>
      <c r="AL877" s="9"/>
    </row>
    <row r="878" spans="1:38" x14ac:dyDescent="0.3">
      <c r="A878" s="11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  <c r="AH878" s="9"/>
      <c r="AI878" s="9"/>
      <c r="AJ878" s="9"/>
      <c r="AK878" s="9"/>
      <c r="AL878" s="9"/>
    </row>
    <row r="879" spans="1:38" x14ac:dyDescent="0.3">
      <c r="A879" s="11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  <c r="AH879" s="9"/>
      <c r="AI879" s="9"/>
      <c r="AJ879" s="9"/>
      <c r="AK879" s="9"/>
      <c r="AL879" s="9"/>
    </row>
    <row r="880" spans="1:38" x14ac:dyDescent="0.3">
      <c r="A880" s="11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  <c r="AH880" s="9"/>
      <c r="AI880" s="9"/>
      <c r="AJ880" s="9"/>
      <c r="AK880" s="9"/>
      <c r="AL880" s="9"/>
    </row>
    <row r="881" spans="1:38" x14ac:dyDescent="0.3">
      <c r="A881" s="11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  <c r="AH881" s="9"/>
      <c r="AI881" s="9"/>
      <c r="AJ881" s="9"/>
      <c r="AK881" s="9"/>
      <c r="AL881" s="9"/>
    </row>
    <row r="882" spans="1:38" x14ac:dyDescent="0.3">
      <c r="A882" s="11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  <c r="AH882" s="9"/>
      <c r="AI882" s="9"/>
      <c r="AJ882" s="9"/>
      <c r="AK882" s="9"/>
      <c r="AL882" s="9"/>
    </row>
    <row r="883" spans="1:38" x14ac:dyDescent="0.3">
      <c r="A883" s="11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  <c r="AH883" s="9"/>
      <c r="AI883" s="9"/>
      <c r="AJ883" s="9"/>
      <c r="AK883" s="9"/>
      <c r="AL883" s="9"/>
    </row>
    <row r="884" spans="1:38" x14ac:dyDescent="0.3">
      <c r="A884" s="11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  <c r="AH884" s="9"/>
      <c r="AI884" s="9"/>
      <c r="AJ884" s="9"/>
      <c r="AK884" s="9"/>
      <c r="AL884" s="9"/>
    </row>
    <row r="885" spans="1:38" x14ac:dyDescent="0.3">
      <c r="A885" s="11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  <c r="AH885" s="9"/>
      <c r="AI885" s="9"/>
      <c r="AJ885" s="9"/>
      <c r="AK885" s="9"/>
      <c r="AL885" s="9"/>
    </row>
    <row r="886" spans="1:38" x14ac:dyDescent="0.3">
      <c r="A886" s="11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  <c r="AH886" s="9"/>
      <c r="AI886" s="9"/>
      <c r="AJ886" s="9"/>
      <c r="AK886" s="9"/>
      <c r="AL886" s="9"/>
    </row>
    <row r="887" spans="1:38" x14ac:dyDescent="0.3">
      <c r="A887" s="11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  <c r="AH887" s="9"/>
      <c r="AI887" s="9"/>
      <c r="AJ887" s="9"/>
      <c r="AK887" s="9"/>
      <c r="AL887" s="9"/>
    </row>
    <row r="888" spans="1:38" x14ac:dyDescent="0.3">
      <c r="A888" s="11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  <c r="AH888" s="9"/>
      <c r="AI888" s="9"/>
      <c r="AJ888" s="9"/>
      <c r="AK888" s="9"/>
      <c r="AL888" s="9"/>
    </row>
    <row r="889" spans="1:38" x14ac:dyDescent="0.3">
      <c r="A889" s="11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  <c r="AH889" s="9"/>
      <c r="AI889" s="9"/>
      <c r="AJ889" s="9"/>
      <c r="AK889" s="9"/>
      <c r="AL889" s="9"/>
    </row>
    <row r="890" spans="1:38" x14ac:dyDescent="0.3">
      <c r="A890" s="11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  <c r="AH890" s="9"/>
      <c r="AI890" s="9"/>
      <c r="AJ890" s="9"/>
      <c r="AK890" s="9"/>
      <c r="AL890" s="9"/>
    </row>
    <row r="891" spans="1:38" x14ac:dyDescent="0.3">
      <c r="A891" s="11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  <c r="AH891" s="9"/>
      <c r="AI891" s="9"/>
      <c r="AJ891" s="9"/>
      <c r="AK891" s="9"/>
      <c r="AL891" s="9"/>
    </row>
    <row r="892" spans="1:38" x14ac:dyDescent="0.3">
      <c r="A892" s="11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  <c r="AH892" s="9"/>
      <c r="AI892" s="9"/>
      <c r="AJ892" s="9"/>
      <c r="AK892" s="9"/>
      <c r="AL892" s="9"/>
    </row>
    <row r="893" spans="1:38" x14ac:dyDescent="0.3">
      <c r="A893" s="11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  <c r="AH893" s="9"/>
      <c r="AI893" s="9"/>
      <c r="AJ893" s="9"/>
      <c r="AK893" s="9"/>
      <c r="AL893" s="9"/>
    </row>
    <row r="894" spans="1:38" x14ac:dyDescent="0.3">
      <c r="A894" s="11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  <c r="AH894" s="9"/>
      <c r="AI894" s="9"/>
      <c r="AJ894" s="9"/>
      <c r="AK894" s="9"/>
      <c r="AL894" s="9"/>
    </row>
    <row r="895" spans="1:38" x14ac:dyDescent="0.3">
      <c r="A895" s="11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  <c r="AH895" s="9"/>
      <c r="AI895" s="9"/>
      <c r="AJ895" s="9"/>
      <c r="AK895" s="9"/>
      <c r="AL895" s="9"/>
    </row>
    <row r="896" spans="1:38" x14ac:dyDescent="0.3">
      <c r="A896" s="11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  <c r="AH896" s="9"/>
      <c r="AI896" s="9"/>
      <c r="AJ896" s="9"/>
      <c r="AK896" s="9"/>
      <c r="AL896" s="9"/>
    </row>
    <row r="897" spans="1:38" x14ac:dyDescent="0.3">
      <c r="A897" s="11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  <c r="AH897" s="9"/>
      <c r="AI897" s="9"/>
      <c r="AJ897" s="9"/>
      <c r="AK897" s="9"/>
      <c r="AL897" s="9"/>
    </row>
    <row r="898" spans="1:38" x14ac:dyDescent="0.3">
      <c r="A898" s="11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  <c r="AH898" s="9"/>
      <c r="AI898" s="9"/>
      <c r="AJ898" s="9"/>
      <c r="AK898" s="9"/>
      <c r="AL898" s="9"/>
    </row>
    <row r="899" spans="1:38" x14ac:dyDescent="0.3">
      <c r="A899" s="11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  <c r="AH899" s="9"/>
      <c r="AI899" s="9"/>
      <c r="AJ899" s="9"/>
      <c r="AK899" s="9"/>
      <c r="AL899" s="9"/>
    </row>
    <row r="900" spans="1:38" x14ac:dyDescent="0.3">
      <c r="A900" s="11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  <c r="AH900" s="9"/>
      <c r="AI900" s="9"/>
      <c r="AJ900" s="9"/>
      <c r="AK900" s="9"/>
      <c r="AL900" s="9"/>
    </row>
    <row r="901" spans="1:38" x14ac:dyDescent="0.3">
      <c r="A901" s="11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  <c r="AH901" s="9"/>
      <c r="AI901" s="9"/>
      <c r="AJ901" s="9"/>
      <c r="AK901" s="9"/>
      <c r="AL901" s="9"/>
    </row>
    <row r="902" spans="1:38" x14ac:dyDescent="0.3">
      <c r="A902" s="11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  <c r="AH902" s="9"/>
      <c r="AI902" s="9"/>
      <c r="AJ902" s="9"/>
      <c r="AK902" s="9"/>
      <c r="AL902" s="9"/>
    </row>
    <row r="903" spans="1:38" x14ac:dyDescent="0.3">
      <c r="A903" s="11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  <c r="AH903" s="9"/>
      <c r="AI903" s="9"/>
      <c r="AJ903" s="9"/>
      <c r="AK903" s="9"/>
      <c r="AL903" s="9"/>
    </row>
    <row r="904" spans="1:38" x14ac:dyDescent="0.3">
      <c r="A904" s="11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  <c r="AH904" s="9"/>
      <c r="AI904" s="9"/>
      <c r="AJ904" s="9"/>
      <c r="AK904" s="9"/>
      <c r="AL904" s="9"/>
    </row>
    <row r="905" spans="1:38" x14ac:dyDescent="0.3">
      <c r="A905" s="11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  <c r="AH905" s="9"/>
      <c r="AI905" s="9"/>
      <c r="AJ905" s="9"/>
      <c r="AK905" s="9"/>
      <c r="AL905" s="9"/>
    </row>
    <row r="906" spans="1:38" x14ac:dyDescent="0.3">
      <c r="A906" s="11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  <c r="AH906" s="9"/>
      <c r="AI906" s="9"/>
      <c r="AJ906" s="9"/>
      <c r="AK906" s="9"/>
      <c r="AL906" s="9"/>
    </row>
    <row r="907" spans="1:38" x14ac:dyDescent="0.3">
      <c r="A907" s="11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  <c r="AH907" s="9"/>
      <c r="AI907" s="9"/>
      <c r="AJ907" s="9"/>
      <c r="AK907" s="9"/>
      <c r="AL907" s="9"/>
    </row>
    <row r="908" spans="1:38" x14ac:dyDescent="0.3">
      <c r="A908" s="11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  <c r="AH908" s="9"/>
      <c r="AI908" s="9"/>
      <c r="AJ908" s="9"/>
      <c r="AK908" s="9"/>
      <c r="AL908" s="9"/>
    </row>
    <row r="909" spans="1:38" x14ac:dyDescent="0.3">
      <c r="A909" s="11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  <c r="AH909" s="9"/>
      <c r="AI909" s="9"/>
      <c r="AJ909" s="9"/>
      <c r="AK909" s="9"/>
      <c r="AL909" s="9"/>
    </row>
    <row r="910" spans="1:38" x14ac:dyDescent="0.3">
      <c r="A910" s="11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  <c r="AH910" s="9"/>
      <c r="AI910" s="9"/>
      <c r="AJ910" s="9"/>
      <c r="AK910" s="9"/>
      <c r="AL910" s="9"/>
    </row>
    <row r="911" spans="1:38" x14ac:dyDescent="0.3">
      <c r="A911" s="11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  <c r="AH911" s="9"/>
      <c r="AI911" s="9"/>
      <c r="AJ911" s="9"/>
      <c r="AK911" s="9"/>
      <c r="AL911" s="9"/>
    </row>
    <row r="912" spans="1:38" x14ac:dyDescent="0.3">
      <c r="A912" s="11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  <c r="AH912" s="9"/>
      <c r="AI912" s="9"/>
      <c r="AJ912" s="9"/>
      <c r="AK912" s="9"/>
      <c r="AL912" s="9"/>
    </row>
    <row r="913" spans="1:38" x14ac:dyDescent="0.3">
      <c r="A913" s="11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  <c r="AH913" s="9"/>
      <c r="AI913" s="9"/>
      <c r="AJ913" s="9"/>
      <c r="AK913" s="9"/>
      <c r="AL913" s="9"/>
    </row>
    <row r="914" spans="1:38" x14ac:dyDescent="0.3">
      <c r="A914" s="11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  <c r="AH914" s="9"/>
      <c r="AI914" s="9"/>
      <c r="AJ914" s="9"/>
      <c r="AK914" s="9"/>
      <c r="AL914" s="9"/>
    </row>
    <row r="915" spans="1:38" x14ac:dyDescent="0.3">
      <c r="A915" s="11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  <c r="AH915" s="9"/>
      <c r="AI915" s="9"/>
      <c r="AJ915" s="9"/>
      <c r="AK915" s="9"/>
      <c r="AL915" s="9"/>
    </row>
    <row r="916" spans="1:38" x14ac:dyDescent="0.3">
      <c r="A916" s="11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  <c r="AH916" s="9"/>
      <c r="AI916" s="9"/>
      <c r="AJ916" s="9"/>
      <c r="AK916" s="9"/>
      <c r="AL916" s="9"/>
    </row>
    <row r="917" spans="1:38" x14ac:dyDescent="0.3">
      <c r="A917" s="11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  <c r="AH917" s="9"/>
      <c r="AI917" s="9"/>
      <c r="AJ917" s="9"/>
      <c r="AK917" s="9"/>
      <c r="AL917" s="9"/>
    </row>
    <row r="918" spans="1:38" x14ac:dyDescent="0.3">
      <c r="A918" s="11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  <c r="AH918" s="9"/>
      <c r="AI918" s="9"/>
      <c r="AJ918" s="9"/>
      <c r="AK918" s="9"/>
      <c r="AL918" s="9"/>
    </row>
    <row r="919" spans="1:38" x14ac:dyDescent="0.3">
      <c r="A919" s="11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  <c r="AH919" s="9"/>
      <c r="AI919" s="9"/>
      <c r="AJ919" s="9"/>
      <c r="AK919" s="9"/>
      <c r="AL919" s="9"/>
    </row>
    <row r="920" spans="1:38" x14ac:dyDescent="0.3">
      <c r="A920" s="11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  <c r="AH920" s="9"/>
      <c r="AI920" s="9"/>
      <c r="AJ920" s="9"/>
      <c r="AK920" s="9"/>
      <c r="AL920" s="9"/>
    </row>
    <row r="921" spans="1:38" x14ac:dyDescent="0.3">
      <c r="A921" s="11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  <c r="AH921" s="9"/>
      <c r="AI921" s="9"/>
      <c r="AJ921" s="9"/>
      <c r="AK921" s="9"/>
      <c r="AL921" s="9"/>
    </row>
    <row r="922" spans="1:38" x14ac:dyDescent="0.3">
      <c r="A922" s="11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  <c r="AH922" s="9"/>
      <c r="AI922" s="9"/>
      <c r="AJ922" s="9"/>
      <c r="AK922" s="9"/>
      <c r="AL922" s="9"/>
    </row>
    <row r="923" spans="1:38" x14ac:dyDescent="0.3">
      <c r="A923" s="11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  <c r="AH923" s="9"/>
      <c r="AI923" s="9"/>
      <c r="AJ923" s="9"/>
      <c r="AK923" s="9"/>
      <c r="AL923" s="9"/>
    </row>
    <row r="924" spans="1:38" x14ac:dyDescent="0.3">
      <c r="A924" s="11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  <c r="AH924" s="9"/>
      <c r="AI924" s="9"/>
      <c r="AJ924" s="9"/>
      <c r="AK924" s="9"/>
      <c r="AL924" s="9"/>
    </row>
    <row r="925" spans="1:38" x14ac:dyDescent="0.3">
      <c r="A925" s="11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  <c r="AH925" s="9"/>
      <c r="AI925" s="9"/>
      <c r="AJ925" s="9"/>
      <c r="AK925" s="9"/>
      <c r="AL925" s="9"/>
    </row>
    <row r="926" spans="1:38" x14ac:dyDescent="0.3">
      <c r="A926" s="11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  <c r="AH926" s="9"/>
      <c r="AI926" s="9"/>
      <c r="AJ926" s="9"/>
      <c r="AK926" s="9"/>
      <c r="AL926" s="9"/>
    </row>
    <row r="927" spans="1:38" x14ac:dyDescent="0.3">
      <c r="A927" s="11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  <c r="AH927" s="9"/>
      <c r="AI927" s="9"/>
      <c r="AJ927" s="9"/>
      <c r="AK927" s="9"/>
      <c r="AL927" s="9"/>
    </row>
    <row r="928" spans="1:38" x14ac:dyDescent="0.3">
      <c r="A928" s="11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  <c r="AH928" s="9"/>
      <c r="AI928" s="9"/>
      <c r="AJ928" s="9"/>
      <c r="AK928" s="9"/>
      <c r="AL928" s="9"/>
    </row>
    <row r="929" spans="1:38" x14ac:dyDescent="0.3">
      <c r="A929" s="11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  <c r="AH929" s="9"/>
      <c r="AI929" s="9"/>
      <c r="AJ929" s="9"/>
      <c r="AK929" s="9"/>
      <c r="AL929" s="9"/>
    </row>
    <row r="930" spans="1:38" x14ac:dyDescent="0.3">
      <c r="A930" s="11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  <c r="AH930" s="9"/>
      <c r="AI930" s="9"/>
      <c r="AJ930" s="9"/>
      <c r="AK930" s="9"/>
      <c r="AL930" s="9"/>
    </row>
    <row r="931" spans="1:38" x14ac:dyDescent="0.3">
      <c r="A931" s="11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  <c r="AH931" s="9"/>
      <c r="AI931" s="9"/>
      <c r="AJ931" s="9"/>
      <c r="AK931" s="9"/>
      <c r="AL931" s="9"/>
    </row>
    <row r="932" spans="1:38" x14ac:dyDescent="0.3">
      <c r="A932" s="11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  <c r="AH932" s="9"/>
      <c r="AI932" s="9"/>
      <c r="AJ932" s="9"/>
      <c r="AK932" s="9"/>
      <c r="AL932" s="9"/>
    </row>
    <row r="933" spans="1:38" x14ac:dyDescent="0.3">
      <c r="A933" s="11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  <c r="AH933" s="9"/>
      <c r="AI933" s="9"/>
      <c r="AJ933" s="9"/>
      <c r="AK933" s="9"/>
      <c r="AL933" s="9"/>
    </row>
    <row r="934" spans="1:38" x14ac:dyDescent="0.3">
      <c r="A934" s="11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  <c r="AH934" s="9"/>
      <c r="AI934" s="9"/>
      <c r="AJ934" s="9"/>
      <c r="AK934" s="9"/>
      <c r="AL934" s="9"/>
    </row>
    <row r="935" spans="1:38" x14ac:dyDescent="0.3">
      <c r="A935" s="11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  <c r="AH935" s="9"/>
      <c r="AI935" s="9"/>
      <c r="AJ935" s="9"/>
      <c r="AK935" s="9"/>
      <c r="AL935" s="9"/>
    </row>
    <row r="936" spans="1:38" x14ac:dyDescent="0.3">
      <c r="A936" s="11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  <c r="AH936" s="9"/>
      <c r="AI936" s="9"/>
      <c r="AJ936" s="9"/>
      <c r="AK936" s="9"/>
      <c r="AL936" s="9"/>
    </row>
    <row r="937" spans="1:38" x14ac:dyDescent="0.3">
      <c r="A937" s="11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  <c r="AH937" s="9"/>
      <c r="AI937" s="9"/>
      <c r="AJ937" s="9"/>
      <c r="AK937" s="9"/>
      <c r="AL937" s="9"/>
    </row>
    <row r="938" spans="1:38" x14ac:dyDescent="0.3">
      <c r="A938" s="11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  <c r="AH938" s="9"/>
      <c r="AI938" s="9"/>
      <c r="AJ938" s="9"/>
      <c r="AK938" s="9"/>
      <c r="AL938" s="9"/>
    </row>
    <row r="939" spans="1:38" x14ac:dyDescent="0.3">
      <c r="A939" s="11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  <c r="AH939" s="9"/>
      <c r="AI939" s="9"/>
      <c r="AJ939" s="9"/>
      <c r="AK939" s="9"/>
      <c r="AL939" s="9"/>
    </row>
    <row r="940" spans="1:38" x14ac:dyDescent="0.3">
      <c r="A940" s="11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  <c r="AH940" s="9"/>
      <c r="AI940" s="9"/>
      <c r="AJ940" s="9"/>
      <c r="AK940" s="9"/>
      <c r="AL940" s="9"/>
    </row>
    <row r="941" spans="1:38" x14ac:dyDescent="0.3">
      <c r="A941" s="11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  <c r="AH941" s="9"/>
      <c r="AI941" s="9"/>
      <c r="AJ941" s="9"/>
      <c r="AK941" s="9"/>
      <c r="AL941" s="9"/>
    </row>
    <row r="942" spans="1:38" x14ac:dyDescent="0.3">
      <c r="A942" s="11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  <c r="AH942" s="9"/>
      <c r="AI942" s="9"/>
      <c r="AJ942" s="9"/>
      <c r="AK942" s="9"/>
      <c r="AL942" s="9"/>
    </row>
    <row r="943" spans="1:38" x14ac:dyDescent="0.3">
      <c r="A943" s="11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  <c r="AH943" s="9"/>
      <c r="AI943" s="9"/>
      <c r="AJ943" s="9"/>
      <c r="AK943" s="9"/>
      <c r="AL943" s="9"/>
    </row>
    <row r="944" spans="1:38" x14ac:dyDescent="0.3">
      <c r="A944" s="11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  <c r="AH944" s="9"/>
      <c r="AI944" s="9"/>
      <c r="AJ944" s="9"/>
      <c r="AK944" s="9"/>
      <c r="AL944" s="9"/>
    </row>
    <row r="945" spans="1:38" x14ac:dyDescent="0.3">
      <c r="A945" s="11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  <c r="AH945" s="9"/>
      <c r="AI945" s="9"/>
      <c r="AJ945" s="9"/>
      <c r="AK945" s="9"/>
      <c r="AL945" s="9"/>
    </row>
    <row r="946" spans="1:38" x14ac:dyDescent="0.3">
      <c r="A946" s="11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  <c r="AH946" s="9"/>
      <c r="AI946" s="9"/>
      <c r="AJ946" s="9"/>
      <c r="AK946" s="9"/>
      <c r="AL946" s="9"/>
    </row>
    <row r="947" spans="1:38" x14ac:dyDescent="0.3">
      <c r="A947" s="11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  <c r="AH947" s="9"/>
      <c r="AI947" s="9"/>
      <c r="AJ947" s="9"/>
      <c r="AK947" s="9"/>
      <c r="AL947" s="9"/>
    </row>
    <row r="948" spans="1:38" x14ac:dyDescent="0.3">
      <c r="A948" s="11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  <c r="AH948" s="9"/>
      <c r="AI948" s="9"/>
      <c r="AJ948" s="9"/>
      <c r="AK948" s="9"/>
      <c r="AL948" s="9"/>
    </row>
    <row r="949" spans="1:38" x14ac:dyDescent="0.3">
      <c r="A949" s="11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  <c r="AH949" s="9"/>
      <c r="AI949" s="9"/>
      <c r="AJ949" s="9"/>
      <c r="AK949" s="9"/>
      <c r="AL949" s="9"/>
    </row>
    <row r="950" spans="1:38" x14ac:dyDescent="0.3">
      <c r="A950" s="11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  <c r="AH950" s="9"/>
      <c r="AI950" s="9"/>
      <c r="AJ950" s="9"/>
      <c r="AK950" s="9"/>
      <c r="AL950" s="9"/>
    </row>
    <row r="951" spans="1:38" x14ac:dyDescent="0.3">
      <c r="A951" s="11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  <c r="AH951" s="9"/>
      <c r="AI951" s="9"/>
      <c r="AJ951" s="9"/>
      <c r="AK951" s="9"/>
      <c r="AL951" s="9"/>
    </row>
    <row r="952" spans="1:38" x14ac:dyDescent="0.3">
      <c r="A952" s="11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  <c r="AH952" s="9"/>
      <c r="AI952" s="9"/>
      <c r="AJ952" s="9"/>
      <c r="AK952" s="9"/>
      <c r="AL952" s="9"/>
    </row>
    <row r="953" spans="1:38" x14ac:dyDescent="0.3">
      <c r="A953" s="11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  <c r="AH953" s="9"/>
      <c r="AI953" s="9"/>
      <c r="AJ953" s="9"/>
      <c r="AK953" s="9"/>
      <c r="AL953" s="9"/>
    </row>
    <row r="954" spans="1:38" x14ac:dyDescent="0.3">
      <c r="A954" s="11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  <c r="AH954" s="9"/>
      <c r="AI954" s="9"/>
      <c r="AJ954" s="9"/>
      <c r="AK954" s="9"/>
      <c r="AL954" s="9"/>
    </row>
    <row r="955" spans="1:38" x14ac:dyDescent="0.3">
      <c r="A955" s="11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  <c r="AH955" s="9"/>
      <c r="AI955" s="9"/>
      <c r="AJ955" s="9"/>
      <c r="AK955" s="9"/>
      <c r="AL955" s="9"/>
    </row>
    <row r="956" spans="1:38" x14ac:dyDescent="0.3">
      <c r="A956" s="11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  <c r="AH956" s="9"/>
      <c r="AI956" s="9"/>
      <c r="AJ956" s="9"/>
      <c r="AK956" s="9"/>
      <c r="AL956" s="9"/>
    </row>
    <row r="957" spans="1:38" x14ac:dyDescent="0.3">
      <c r="A957" s="11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  <c r="AH957" s="9"/>
      <c r="AI957" s="9"/>
      <c r="AJ957" s="9"/>
      <c r="AK957" s="9"/>
      <c r="AL957" s="9"/>
    </row>
    <row r="958" spans="1:38" x14ac:dyDescent="0.3">
      <c r="A958" s="11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  <c r="AH958" s="9"/>
      <c r="AI958" s="9"/>
      <c r="AJ958" s="9"/>
      <c r="AK958" s="9"/>
      <c r="AL958" s="9"/>
    </row>
    <row r="959" spans="1:38" x14ac:dyDescent="0.3">
      <c r="A959" s="11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  <c r="AH959" s="9"/>
      <c r="AI959" s="9"/>
      <c r="AJ959" s="9"/>
      <c r="AK959" s="9"/>
      <c r="AL959" s="9"/>
    </row>
    <row r="960" spans="1:38" x14ac:dyDescent="0.3">
      <c r="A960" s="11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  <c r="AH960" s="9"/>
      <c r="AI960" s="9"/>
      <c r="AJ960" s="9"/>
      <c r="AK960" s="9"/>
      <c r="AL960" s="9"/>
    </row>
    <row r="961" spans="1:38" x14ac:dyDescent="0.3">
      <c r="A961" s="11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  <c r="AH961" s="9"/>
      <c r="AI961" s="9"/>
      <c r="AJ961" s="9"/>
      <c r="AK961" s="9"/>
      <c r="AL961" s="9"/>
    </row>
    <row r="962" spans="1:38" x14ac:dyDescent="0.3">
      <c r="A962" s="11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  <c r="AH962" s="9"/>
      <c r="AI962" s="9"/>
      <c r="AJ962" s="9"/>
      <c r="AK962" s="9"/>
      <c r="AL962" s="9"/>
    </row>
    <row r="963" spans="1:38" x14ac:dyDescent="0.3">
      <c r="A963" s="11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  <c r="AH963" s="9"/>
      <c r="AI963" s="9"/>
      <c r="AJ963" s="9"/>
      <c r="AK963" s="9"/>
      <c r="AL963" s="9"/>
    </row>
    <row r="964" spans="1:38" x14ac:dyDescent="0.3">
      <c r="A964" s="11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  <c r="AH964" s="9"/>
      <c r="AI964" s="9"/>
      <c r="AJ964" s="9"/>
      <c r="AK964" s="9"/>
      <c r="AL964" s="9"/>
    </row>
    <row r="965" spans="1:38" x14ac:dyDescent="0.3">
      <c r="A965" s="11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  <c r="AH965" s="9"/>
      <c r="AI965" s="9"/>
      <c r="AJ965" s="9"/>
      <c r="AK965" s="9"/>
      <c r="AL965" s="9"/>
    </row>
    <row r="966" spans="1:38" x14ac:dyDescent="0.3">
      <c r="A966" s="11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  <c r="AH966" s="9"/>
      <c r="AI966" s="9"/>
      <c r="AJ966" s="9"/>
      <c r="AK966" s="9"/>
      <c r="AL966" s="9"/>
    </row>
    <row r="967" spans="1:38" x14ac:dyDescent="0.3">
      <c r="A967" s="11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  <c r="AH967" s="9"/>
      <c r="AI967" s="9"/>
      <c r="AJ967" s="9"/>
      <c r="AK967" s="9"/>
      <c r="AL967" s="9"/>
    </row>
    <row r="968" spans="1:38" x14ac:dyDescent="0.3">
      <c r="A968" s="11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  <c r="AH968" s="9"/>
      <c r="AI968" s="9"/>
      <c r="AJ968" s="9"/>
      <c r="AK968" s="9"/>
      <c r="AL968" s="9"/>
    </row>
    <row r="969" spans="1:38" x14ac:dyDescent="0.3">
      <c r="A969" s="11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  <c r="AH969" s="9"/>
      <c r="AI969" s="9"/>
      <c r="AJ969" s="9"/>
      <c r="AK969" s="9"/>
      <c r="AL969" s="9"/>
    </row>
    <row r="970" spans="1:38" x14ac:dyDescent="0.3">
      <c r="A970" s="11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  <c r="AH970" s="9"/>
      <c r="AI970" s="9"/>
      <c r="AJ970" s="9"/>
      <c r="AK970" s="9"/>
      <c r="AL970" s="9"/>
    </row>
    <row r="971" spans="1:38" x14ac:dyDescent="0.3">
      <c r="A971" s="11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  <c r="AH971" s="9"/>
      <c r="AI971" s="9"/>
      <c r="AJ971" s="9"/>
      <c r="AK971" s="9"/>
      <c r="AL971" s="9"/>
    </row>
    <row r="972" spans="1:38" x14ac:dyDescent="0.3">
      <c r="A972" s="11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  <c r="AH972" s="9"/>
      <c r="AI972" s="9"/>
      <c r="AJ972" s="9"/>
      <c r="AK972" s="9"/>
      <c r="AL972" s="9"/>
    </row>
    <row r="973" spans="1:38" x14ac:dyDescent="0.3">
      <c r="A973" s="11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  <c r="AH973" s="9"/>
      <c r="AI973" s="9"/>
      <c r="AJ973" s="9"/>
      <c r="AK973" s="9"/>
      <c r="AL973" s="9"/>
    </row>
    <row r="974" spans="1:38" x14ac:dyDescent="0.3">
      <c r="A974" s="11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  <c r="AH974" s="9"/>
      <c r="AI974" s="9"/>
      <c r="AJ974" s="9"/>
      <c r="AK974" s="9"/>
      <c r="AL974" s="9"/>
    </row>
    <row r="975" spans="1:38" x14ac:dyDescent="0.3">
      <c r="A975" s="11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  <c r="AH975" s="9"/>
      <c r="AI975" s="9"/>
      <c r="AJ975" s="9"/>
      <c r="AK975" s="9"/>
      <c r="AL975" s="9"/>
    </row>
    <row r="976" spans="1:38" x14ac:dyDescent="0.3">
      <c r="A976" s="11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  <c r="AH976" s="9"/>
      <c r="AI976" s="9"/>
      <c r="AJ976" s="9"/>
      <c r="AK976" s="9"/>
      <c r="AL976" s="9"/>
    </row>
    <row r="977" spans="1:38" x14ac:dyDescent="0.3">
      <c r="A977" s="11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  <c r="AH977" s="9"/>
      <c r="AI977" s="9"/>
      <c r="AJ977" s="9"/>
      <c r="AK977" s="9"/>
      <c r="AL977" s="9"/>
    </row>
    <row r="978" spans="1:38" x14ac:dyDescent="0.3">
      <c r="A978" s="11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  <c r="AH978" s="9"/>
      <c r="AI978" s="9"/>
      <c r="AJ978" s="9"/>
      <c r="AK978" s="9"/>
      <c r="AL978" s="9"/>
    </row>
    <row r="979" spans="1:38" x14ac:dyDescent="0.3">
      <c r="A979" s="11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  <c r="AH979" s="9"/>
      <c r="AI979" s="9"/>
      <c r="AJ979" s="9"/>
      <c r="AK979" s="9"/>
      <c r="AL979" s="9"/>
    </row>
    <row r="980" spans="1:38" x14ac:dyDescent="0.3">
      <c r="A980" s="11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  <c r="AH980" s="9"/>
      <c r="AI980" s="9"/>
      <c r="AJ980" s="9"/>
      <c r="AK980" s="9"/>
      <c r="AL980" s="9"/>
    </row>
    <row r="981" spans="1:38" x14ac:dyDescent="0.3">
      <c r="A981" s="11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  <c r="AH981" s="9"/>
      <c r="AI981" s="9"/>
      <c r="AJ981" s="9"/>
      <c r="AK981" s="9"/>
      <c r="AL981" s="9"/>
    </row>
    <row r="982" spans="1:38" x14ac:dyDescent="0.3">
      <c r="A982" s="11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  <c r="AH982" s="9"/>
      <c r="AI982" s="9"/>
      <c r="AJ982" s="9"/>
      <c r="AK982" s="9"/>
      <c r="AL982" s="9"/>
    </row>
    <row r="983" spans="1:38" x14ac:dyDescent="0.3">
      <c r="A983" s="11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  <c r="AH983" s="9"/>
      <c r="AI983" s="9"/>
      <c r="AJ983" s="9"/>
      <c r="AK983" s="9"/>
      <c r="AL983" s="9"/>
    </row>
    <row r="984" spans="1:38" x14ac:dyDescent="0.3">
      <c r="A984" s="11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  <c r="AH984" s="9"/>
      <c r="AI984" s="9"/>
      <c r="AJ984" s="9"/>
      <c r="AK984" s="9"/>
      <c r="AL984" s="9"/>
    </row>
    <row r="985" spans="1:38" x14ac:dyDescent="0.3">
      <c r="A985" s="11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  <c r="AH985" s="9"/>
      <c r="AI985" s="9"/>
      <c r="AJ985" s="9"/>
      <c r="AK985" s="9"/>
      <c r="AL985" s="9"/>
    </row>
    <row r="986" spans="1:38" x14ac:dyDescent="0.3">
      <c r="A986" s="11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  <c r="AH986" s="9"/>
      <c r="AI986" s="9"/>
      <c r="AJ986" s="9"/>
      <c r="AK986" s="9"/>
      <c r="AL986" s="9"/>
    </row>
    <row r="987" spans="1:38" x14ac:dyDescent="0.3">
      <c r="A987" s="11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  <c r="AH987" s="9"/>
      <c r="AI987" s="9"/>
      <c r="AJ987" s="9"/>
      <c r="AK987" s="9"/>
      <c r="AL987" s="9"/>
    </row>
    <row r="988" spans="1:38" x14ac:dyDescent="0.3">
      <c r="A988" s="11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  <c r="AH988" s="9"/>
      <c r="AI988" s="9"/>
      <c r="AJ988" s="9"/>
      <c r="AK988" s="9"/>
      <c r="AL988" s="9"/>
    </row>
    <row r="989" spans="1:38" x14ac:dyDescent="0.3">
      <c r="A989" s="11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  <c r="AH989" s="9"/>
      <c r="AI989" s="9"/>
      <c r="AJ989" s="9"/>
      <c r="AK989" s="9"/>
      <c r="AL989" s="9"/>
    </row>
    <row r="990" spans="1:38" x14ac:dyDescent="0.3">
      <c r="A990" s="11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  <c r="AH990" s="9"/>
      <c r="AI990" s="9"/>
      <c r="AJ990" s="9"/>
      <c r="AK990" s="9"/>
      <c r="AL990" s="9"/>
    </row>
    <row r="991" spans="1:38" x14ac:dyDescent="0.3">
      <c r="A991" s="11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  <c r="AH991" s="9"/>
      <c r="AI991" s="9"/>
      <c r="AJ991" s="9"/>
      <c r="AK991" s="9"/>
      <c r="AL991" s="9"/>
    </row>
    <row r="992" spans="1:38" x14ac:dyDescent="0.3">
      <c r="A992" s="11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  <c r="AH992" s="9"/>
      <c r="AI992" s="9"/>
      <c r="AJ992" s="9"/>
      <c r="AK992" s="9"/>
      <c r="AL992" s="9"/>
    </row>
    <row r="993" spans="1:38" x14ac:dyDescent="0.3">
      <c r="A993" s="11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  <c r="AH993" s="9"/>
      <c r="AI993" s="9"/>
      <c r="AJ993" s="9"/>
      <c r="AK993" s="9"/>
      <c r="AL993" s="9"/>
    </row>
    <row r="994" spans="1:38" x14ac:dyDescent="0.3">
      <c r="A994" s="11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  <c r="AH994" s="9"/>
      <c r="AI994" s="9"/>
      <c r="AJ994" s="9"/>
      <c r="AK994" s="9"/>
      <c r="AL994" s="9"/>
    </row>
  </sheetData>
  <sheetProtection formatColumns="0" formatRows="0" autoFilter="0"/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>
    <tabColor rgb="FF0070C0"/>
  </sheetPr>
  <dimension ref="A1:U35"/>
  <sheetViews>
    <sheetView topLeftCell="G6" workbookViewId="0">
      <selection activeCell="U1" sqref="U1:U35"/>
    </sheetView>
  </sheetViews>
  <sheetFormatPr defaultRowHeight="13.2" x14ac:dyDescent="0.25"/>
  <cols>
    <col min="1" max="1" width="23" style="21" customWidth="1"/>
    <col min="2" max="2" width="30.6640625" style="21" customWidth="1"/>
    <col min="6" max="6" width="50.21875" customWidth="1"/>
    <col min="7" max="7" width="45.5546875" bestFit="1" customWidth="1"/>
  </cols>
  <sheetData>
    <row r="1" spans="1:21" x14ac:dyDescent="0.25">
      <c r="A1" s="26" t="s">
        <v>3</v>
      </c>
      <c r="B1" s="26"/>
      <c r="F1" t="s">
        <v>0</v>
      </c>
      <c r="G1" t="str">
        <f>[1]!Translit(F1)</f>
        <v>NN</v>
      </c>
      <c r="H1" t="s">
        <v>85</v>
      </c>
      <c r="L1" t="str">
        <f>H1&amp;G1&amp;I1&amp;E1</f>
        <v>col_NN</v>
      </c>
      <c r="Q1" t="s">
        <v>86</v>
      </c>
      <c r="S1" t="s">
        <v>87</v>
      </c>
      <c r="U1" t="str">
        <f>Q1&amp;L1&amp;S1</f>
        <v>Cells(iLastRow, col_NN)</v>
      </c>
    </row>
    <row r="2" spans="1:21" x14ac:dyDescent="0.25">
      <c r="A2" s="22" t="s">
        <v>1</v>
      </c>
      <c r="B2" s="22" t="s">
        <v>2</v>
      </c>
      <c r="F2" t="s">
        <v>57</v>
      </c>
      <c r="G2" t="str">
        <f>[1]!Translit(F2)</f>
        <v>Nomer_postavki</v>
      </c>
      <c r="H2" t="s">
        <v>85</v>
      </c>
      <c r="L2" t="str">
        <f t="shared" ref="L2:L35" si="0">H2&amp;G2&amp;I2&amp;E2</f>
        <v>col_Nomer_postavki</v>
      </c>
      <c r="Q2" t="s">
        <v>86</v>
      </c>
      <c r="S2" t="s">
        <v>87</v>
      </c>
      <c r="U2" t="str">
        <f t="shared" ref="U2:U35" si="1">Q2&amp;L2&amp;S2</f>
        <v>Cells(iLastRow, col_Nomer_postavki)</v>
      </c>
    </row>
    <row r="3" spans="1:21" x14ac:dyDescent="0.25">
      <c r="A3" s="21" t="s">
        <v>4</v>
      </c>
      <c r="B3" s="21">
        <v>1</v>
      </c>
      <c r="F3" t="s">
        <v>58</v>
      </c>
      <c r="G3" t="str">
        <f>[1]!Translit(F3)</f>
        <v>Data_postavki</v>
      </c>
      <c r="H3" t="s">
        <v>85</v>
      </c>
      <c r="L3" t="str">
        <f t="shared" si="0"/>
        <v>col_Data_postavki</v>
      </c>
      <c r="Q3" t="s">
        <v>86</v>
      </c>
      <c r="S3" t="s">
        <v>87</v>
      </c>
      <c r="U3" t="str">
        <f t="shared" si="1"/>
        <v>Cells(iLastRow, col_Data_postavki)</v>
      </c>
    </row>
    <row r="4" spans="1:21" x14ac:dyDescent="0.25">
      <c r="A4" s="21" t="s">
        <v>5</v>
      </c>
      <c r="B4" s="21">
        <v>2</v>
      </c>
      <c r="F4" t="s">
        <v>23</v>
      </c>
      <c r="G4" t="str">
        <f>[1]!Translit(F4)</f>
        <v>Artikul</v>
      </c>
      <c r="H4" t="s">
        <v>85</v>
      </c>
      <c r="L4" t="str">
        <f t="shared" si="0"/>
        <v>col_Artikul</v>
      </c>
      <c r="Q4" t="s">
        <v>86</v>
      </c>
      <c r="S4" t="s">
        <v>87</v>
      </c>
      <c r="U4" t="str">
        <f t="shared" si="1"/>
        <v>Cells(iLastRow, col_Artikul)</v>
      </c>
    </row>
    <row r="5" spans="1:21" x14ac:dyDescent="0.25">
      <c r="A5" s="21" t="s">
        <v>6</v>
      </c>
      <c r="B5" s="21">
        <v>3</v>
      </c>
      <c r="F5" t="s">
        <v>24</v>
      </c>
      <c r="G5" t="str">
        <f>[1]!Translit(F5)</f>
        <v>Naimenovanie</v>
      </c>
      <c r="H5" t="s">
        <v>85</v>
      </c>
      <c r="L5" t="str">
        <f t="shared" si="0"/>
        <v>col_Naimenovanie</v>
      </c>
      <c r="Q5" t="s">
        <v>86</v>
      </c>
      <c r="S5" t="s">
        <v>87</v>
      </c>
      <c r="U5" t="str">
        <f t="shared" si="1"/>
        <v>Cells(iLastRow, col_Naimenovanie)</v>
      </c>
    </row>
    <row r="6" spans="1:21" x14ac:dyDescent="0.25">
      <c r="A6" s="21" t="s">
        <v>7</v>
      </c>
      <c r="B6" s="21">
        <v>4</v>
      </c>
      <c r="F6" t="s">
        <v>25</v>
      </c>
      <c r="G6" t="str">
        <f>[1]!Translit(F6)</f>
        <v>Ssylka</v>
      </c>
      <c r="H6" t="s">
        <v>85</v>
      </c>
      <c r="L6" t="str">
        <f t="shared" si="0"/>
        <v>col_Ssylka</v>
      </c>
      <c r="Q6" t="s">
        <v>86</v>
      </c>
      <c r="S6" t="s">
        <v>87</v>
      </c>
      <c r="U6" t="str">
        <f t="shared" si="1"/>
        <v>Cells(iLastRow, col_Ssylka)</v>
      </c>
    </row>
    <row r="7" spans="1:21" x14ac:dyDescent="0.25">
      <c r="A7" s="21" t="s">
        <v>8</v>
      </c>
      <c r="B7" s="21">
        <v>5</v>
      </c>
      <c r="F7" t="s">
        <v>26</v>
      </c>
      <c r="G7" t="str">
        <f>[1]!Translit(F7)</f>
        <v>Kolichestvo</v>
      </c>
      <c r="H7" t="s">
        <v>85</v>
      </c>
      <c r="L7" t="str">
        <f t="shared" si="0"/>
        <v>col_Kolichestvo</v>
      </c>
      <c r="Q7" t="s">
        <v>86</v>
      </c>
      <c r="S7" t="s">
        <v>87</v>
      </c>
      <c r="U7" t="str">
        <f t="shared" si="1"/>
        <v>Cells(iLastRow, col_Kolichestvo)</v>
      </c>
    </row>
    <row r="8" spans="1:21" x14ac:dyDescent="0.25">
      <c r="A8" s="21" t="s">
        <v>9</v>
      </c>
      <c r="B8" s="21">
        <v>6</v>
      </c>
      <c r="F8" t="s">
        <v>27</v>
      </c>
      <c r="G8" t="str">
        <f>[1]!Translit(F8)</f>
        <v>Razmer</v>
      </c>
      <c r="H8" t="s">
        <v>85</v>
      </c>
      <c r="L8" t="str">
        <f t="shared" si="0"/>
        <v>col_Razmer</v>
      </c>
      <c r="Q8" t="s">
        <v>86</v>
      </c>
      <c r="S8" t="s">
        <v>87</v>
      </c>
      <c r="U8" t="str">
        <f t="shared" si="1"/>
        <v>Cells(iLastRow, col_Razmer)</v>
      </c>
    </row>
    <row r="9" spans="1:21" x14ac:dyDescent="0.25">
      <c r="A9" s="21" t="s">
        <v>10</v>
      </c>
      <c r="B9" s="21">
        <v>7</v>
      </c>
      <c r="F9" t="s">
        <v>28</v>
      </c>
      <c r="G9" t="str">
        <f>[1]!Translit(F9)</f>
        <v>Tsvet</v>
      </c>
      <c r="H9" t="s">
        <v>85</v>
      </c>
      <c r="L9" t="str">
        <f t="shared" si="0"/>
        <v>col_Tsvet</v>
      </c>
      <c r="Q9" t="s">
        <v>86</v>
      </c>
      <c r="S9" t="s">
        <v>87</v>
      </c>
      <c r="U9" t="str">
        <f t="shared" si="1"/>
        <v>Cells(iLastRow, col_Tsvet)</v>
      </c>
    </row>
    <row r="10" spans="1:21" x14ac:dyDescent="0.25">
      <c r="A10" s="21" t="s">
        <v>11</v>
      </c>
      <c r="B10" s="21">
        <v>8</v>
      </c>
      <c r="F10" t="s">
        <v>63</v>
      </c>
      <c r="G10" t="str">
        <f>[1]!Translit(F10)</f>
        <v>Tsena_za_ed_CNY</v>
      </c>
      <c r="H10" t="s">
        <v>85</v>
      </c>
      <c r="L10" t="str">
        <f t="shared" si="0"/>
        <v>col_Tsena_za_ed_CNY</v>
      </c>
      <c r="Q10" t="s">
        <v>86</v>
      </c>
      <c r="S10" t="s">
        <v>87</v>
      </c>
      <c r="U10" t="str">
        <f t="shared" si="1"/>
        <v>Cells(iLastRow, col_Tsena_za_ed_CNY)</v>
      </c>
    </row>
    <row r="11" spans="1:21" x14ac:dyDescent="0.25">
      <c r="A11" s="21" t="s">
        <v>12</v>
      </c>
      <c r="B11" s="21">
        <v>9</v>
      </c>
      <c r="F11" t="s">
        <v>64</v>
      </c>
      <c r="G11" t="str">
        <f>[1]!Translit(F11)</f>
        <v>Tsena_za_ed_RUB</v>
      </c>
      <c r="H11" t="s">
        <v>85</v>
      </c>
      <c r="L11" t="str">
        <f t="shared" si="0"/>
        <v>col_Tsena_za_ed_RUB</v>
      </c>
      <c r="Q11" t="s">
        <v>86</v>
      </c>
      <c r="S11" t="s">
        <v>87</v>
      </c>
      <c r="U11" t="str">
        <f t="shared" si="1"/>
        <v>Cells(iLastRow, col_Tsena_za_ed_RUB)</v>
      </c>
    </row>
    <row r="12" spans="1:21" x14ac:dyDescent="0.25">
      <c r="F12" t="s">
        <v>65</v>
      </c>
      <c r="G12" t="str">
        <f>[1]!Translit(F12)</f>
        <v>Dostavka_po_Kitau_za_partiu_CNY</v>
      </c>
      <c r="H12" t="s">
        <v>85</v>
      </c>
      <c r="L12" t="str">
        <f t="shared" si="0"/>
        <v>col_Dostavka_po_Kitau_za_partiu_CNY</v>
      </c>
      <c r="Q12" t="s">
        <v>86</v>
      </c>
      <c r="S12" t="s">
        <v>87</v>
      </c>
      <c r="U12" t="str">
        <f t="shared" si="1"/>
        <v>Cells(iLastRow, col_Dostavka_po_Kitau_za_partiu_CNY)</v>
      </c>
    </row>
    <row r="13" spans="1:21" x14ac:dyDescent="0.25">
      <c r="F13" t="s">
        <v>66</v>
      </c>
      <c r="G13" t="str">
        <f>[1]!Translit(F13)</f>
        <v>Tsena_aviadostavki_1_kg_USD</v>
      </c>
      <c r="H13" t="s">
        <v>85</v>
      </c>
      <c r="L13" t="str">
        <f t="shared" si="0"/>
        <v>col_Tsena_aviadostavki_1_kg_USD</v>
      </c>
      <c r="Q13" t="s">
        <v>86</v>
      </c>
      <c r="S13" t="s">
        <v>87</v>
      </c>
      <c r="U13" t="str">
        <f t="shared" si="1"/>
        <v>Cells(iLastRow, col_Tsena_aviadostavki_1_kg_USD)</v>
      </c>
    </row>
    <row r="14" spans="1:21" x14ac:dyDescent="0.25">
      <c r="F14" t="s">
        <v>67</v>
      </c>
      <c r="G14" t="str">
        <f>[1]!Translit(F14)</f>
        <v>Ves_1_ed_tovara_kg</v>
      </c>
      <c r="H14" t="s">
        <v>85</v>
      </c>
      <c r="L14" t="str">
        <f t="shared" si="0"/>
        <v>col_Ves_1_ed_tovara_kg</v>
      </c>
      <c r="Q14" t="s">
        <v>86</v>
      </c>
      <c r="S14" t="s">
        <v>87</v>
      </c>
      <c r="U14" t="str">
        <f t="shared" si="1"/>
        <v>Cells(iLastRow, col_Ves_1_ed_tovara_kg)</v>
      </c>
    </row>
    <row r="15" spans="1:21" x14ac:dyDescent="0.25">
      <c r="F15" t="s">
        <v>68</v>
      </c>
      <c r="G15" t="str">
        <f>[1]!Translit(F15)</f>
        <v>Fotograf_za_partiu_RUB</v>
      </c>
      <c r="H15" t="s">
        <v>85</v>
      </c>
      <c r="L15" t="str">
        <f t="shared" si="0"/>
        <v>col_Fotograf_za_partiu_RUB</v>
      </c>
      <c r="Q15" t="s">
        <v>86</v>
      </c>
      <c r="S15" t="s">
        <v>87</v>
      </c>
      <c r="U15" t="str">
        <f t="shared" si="1"/>
        <v>Cells(iLastRow, col_Fotograf_za_partiu_RUB)</v>
      </c>
    </row>
    <row r="16" spans="1:21" x14ac:dyDescent="0.25">
      <c r="F16" t="s">
        <v>69</v>
      </c>
      <c r="G16" t="str">
        <f>[1]!Translit(F16)</f>
        <v>Upakovka_za_portiu_RUB</v>
      </c>
      <c r="H16" t="s">
        <v>85</v>
      </c>
      <c r="L16" t="str">
        <f t="shared" si="0"/>
        <v>col_Upakovka_za_portiu_RUB</v>
      </c>
      <c r="Q16" t="s">
        <v>86</v>
      </c>
      <c r="S16" t="s">
        <v>87</v>
      </c>
      <c r="U16" t="str">
        <f t="shared" si="1"/>
        <v>Cells(iLastRow, col_Upakovka_za_portiu_RUB)</v>
      </c>
    </row>
    <row r="17" spans="6:21" x14ac:dyDescent="0.25">
      <c r="F17" t="s">
        <v>70</v>
      </c>
      <c r="G17" t="str">
        <f>[1]!Translit(F17)</f>
        <v>Komissiya_kitaitsa_%%</v>
      </c>
      <c r="H17" t="s">
        <v>85</v>
      </c>
      <c r="L17" t="str">
        <f t="shared" si="0"/>
        <v>col_Komissiya_kitaitsa_%%</v>
      </c>
      <c r="Q17" t="s">
        <v>86</v>
      </c>
      <c r="S17" t="s">
        <v>87</v>
      </c>
      <c r="U17" t="str">
        <f t="shared" si="1"/>
        <v>Cells(iLastRow, col_Komissiya_kitaitsa_%%)</v>
      </c>
    </row>
    <row r="18" spans="6:21" x14ac:dyDescent="0.25">
      <c r="F18" t="s">
        <v>71</v>
      </c>
      <c r="G18" t="str">
        <f>[1]!Translit(F18)</f>
        <v>Tsena_dostavki_po_Msk_za_partiu_RUB</v>
      </c>
      <c r="H18" t="s">
        <v>85</v>
      </c>
      <c r="L18" t="str">
        <f t="shared" si="0"/>
        <v>col_Tsena_dostavki_po_Msk_za_partiu_RUB</v>
      </c>
      <c r="Q18" t="s">
        <v>86</v>
      </c>
      <c r="S18" t="s">
        <v>87</v>
      </c>
      <c r="U18" t="str">
        <f t="shared" si="1"/>
        <v>Cells(iLastRow, col_Tsena_dostavki_po_Msk_za_partiu_RUB)</v>
      </c>
    </row>
    <row r="19" spans="6:21" x14ac:dyDescent="0.25">
      <c r="F19" t="s">
        <v>72</v>
      </c>
      <c r="G19" t="str">
        <f>[1]!Translit(F19)</f>
        <v>Strakhovka_gruza_za_partiu_USD</v>
      </c>
      <c r="H19" t="s">
        <v>85</v>
      </c>
      <c r="L19" t="str">
        <f t="shared" si="0"/>
        <v>col_Strakhovka_gruza_za_partiu_USD</v>
      </c>
      <c r="Q19" t="s">
        <v>86</v>
      </c>
      <c r="S19" t="s">
        <v>87</v>
      </c>
      <c r="U19" t="str">
        <f t="shared" si="1"/>
        <v>Cells(iLastRow, col_Strakhovka_gruza_za_partiu_USD)</v>
      </c>
    </row>
    <row r="20" spans="6:21" x14ac:dyDescent="0.25">
      <c r="F20" t="s">
        <v>73</v>
      </c>
      <c r="G20" t="str">
        <f>[1]!Translit(F20)</f>
        <v>Upakovka_gruza_za_partiu_USD</v>
      </c>
      <c r="H20" t="s">
        <v>85</v>
      </c>
      <c r="L20" t="str">
        <f t="shared" si="0"/>
        <v>col_Upakovka_gruza_za_partiu_USD</v>
      </c>
      <c r="Q20" t="s">
        <v>86</v>
      </c>
      <c r="S20" t="s">
        <v>87</v>
      </c>
      <c r="U20" t="str">
        <f t="shared" si="1"/>
        <v>Cells(iLastRow, col_Upakovka_gruza_za_partiu_USD)</v>
      </c>
    </row>
    <row r="21" spans="6:21" x14ac:dyDescent="0.25">
      <c r="F21" t="s">
        <v>74</v>
      </c>
      <c r="G21" t="str">
        <f>[1]!Translit(F21)</f>
        <v>Prochie_raskhody_za_partiu_RUB</v>
      </c>
      <c r="H21" t="s">
        <v>85</v>
      </c>
      <c r="L21" t="str">
        <f t="shared" si="0"/>
        <v>col_Prochie_raskhody_za_partiu_RUB</v>
      </c>
      <c r="Q21" t="s">
        <v>86</v>
      </c>
      <c r="S21" t="s">
        <v>87</v>
      </c>
      <c r="U21" t="str">
        <f t="shared" si="1"/>
        <v>Cells(iLastRow, col_Prochie_raskhody_za_partiu_RUB)</v>
      </c>
    </row>
    <row r="22" spans="6:21" x14ac:dyDescent="0.25">
      <c r="F22" t="s">
        <v>59</v>
      </c>
      <c r="G22" t="str">
        <f>[1]!Translit(F22)</f>
        <v>Kurs_CNY/RUB</v>
      </c>
      <c r="H22" t="s">
        <v>85</v>
      </c>
      <c r="L22" t="str">
        <f t="shared" si="0"/>
        <v>col_Kurs_CNY/RUB</v>
      </c>
      <c r="Q22" t="s">
        <v>86</v>
      </c>
      <c r="S22" t="s">
        <v>87</v>
      </c>
      <c r="U22" t="str">
        <f t="shared" si="1"/>
        <v>Cells(iLastRow, col_Kurs_CNY/RUB)</v>
      </c>
    </row>
    <row r="23" spans="6:21" x14ac:dyDescent="0.25">
      <c r="F23" t="s">
        <v>60</v>
      </c>
      <c r="G23" t="str">
        <f>[1]!Translit(F23)</f>
        <v>Kurs_USD/RUB</v>
      </c>
      <c r="H23" t="s">
        <v>85</v>
      </c>
      <c r="L23" t="str">
        <f t="shared" si="0"/>
        <v>col_Kurs_USD/RUB</v>
      </c>
      <c r="Q23" t="s">
        <v>86</v>
      </c>
      <c r="S23" t="s">
        <v>87</v>
      </c>
      <c r="U23" t="str">
        <f t="shared" si="1"/>
        <v>Cells(iLastRow, col_Kurs_USD/RUB)</v>
      </c>
    </row>
    <row r="24" spans="6:21" x14ac:dyDescent="0.25">
      <c r="F24" t="s">
        <v>75</v>
      </c>
      <c r="G24" t="str">
        <f>[1]!Translit(F24)</f>
        <v>Itogo_stoimost_tovara_RUB</v>
      </c>
      <c r="H24" t="s">
        <v>85</v>
      </c>
      <c r="L24" t="str">
        <f t="shared" si="0"/>
        <v>col_Itogo_stoimost_tovara_RUB</v>
      </c>
      <c r="Q24" t="s">
        <v>86</v>
      </c>
      <c r="S24" t="s">
        <v>87</v>
      </c>
      <c r="U24" t="str">
        <f t="shared" si="1"/>
        <v>Cells(iLastRow, col_Itogo_stoimost_tovara_RUB)</v>
      </c>
    </row>
    <row r="25" spans="6:21" x14ac:dyDescent="0.25">
      <c r="F25" t="s">
        <v>76</v>
      </c>
      <c r="G25" t="str">
        <f>[1]!Translit(F25)</f>
        <v>Dostavka_po_Kitau_za_1_ed_RUB</v>
      </c>
      <c r="H25" t="s">
        <v>85</v>
      </c>
      <c r="L25" t="str">
        <f t="shared" si="0"/>
        <v>col_Dostavka_po_Kitau_za_1_ed_RUB</v>
      </c>
      <c r="Q25" t="s">
        <v>86</v>
      </c>
      <c r="S25" t="s">
        <v>87</v>
      </c>
      <c r="U25" t="str">
        <f t="shared" si="1"/>
        <v>Cells(iLastRow, col_Dostavka_po_Kitau_za_1_ed_RUB)</v>
      </c>
    </row>
    <row r="26" spans="6:21" x14ac:dyDescent="0.25">
      <c r="F26" t="s">
        <v>77</v>
      </c>
      <c r="G26" t="str">
        <f>[1]!Translit(F26)</f>
        <v>Dostavka_po_Kitau_za_partiu_RUB</v>
      </c>
      <c r="H26" t="s">
        <v>85</v>
      </c>
      <c r="L26" t="str">
        <f t="shared" si="0"/>
        <v>col_Dostavka_po_Kitau_za_partiu_RUB</v>
      </c>
      <c r="Q26" t="s">
        <v>86</v>
      </c>
      <c r="S26" t="s">
        <v>87</v>
      </c>
      <c r="U26" t="str">
        <f t="shared" si="1"/>
        <v>Cells(iLastRow, col_Dostavka_po_Kitau_za_partiu_RUB)</v>
      </c>
    </row>
    <row r="27" spans="6:21" x14ac:dyDescent="0.25">
      <c r="F27" t="s">
        <v>78</v>
      </c>
      <c r="G27" t="str">
        <f>[1]!Translit(F27)</f>
        <v>Aviadostavka_strakhovka_upakovka_za_1_ed_RUB</v>
      </c>
      <c r="H27" t="s">
        <v>85</v>
      </c>
      <c r="L27" t="str">
        <f t="shared" si="0"/>
        <v>col_Aviadostavka_strakhovka_upakovka_za_1_ed_RUB</v>
      </c>
      <c r="Q27" t="s">
        <v>86</v>
      </c>
      <c r="S27" t="s">
        <v>87</v>
      </c>
      <c r="U27" t="str">
        <f t="shared" si="1"/>
        <v>Cells(iLastRow, col_Aviadostavka_strakhovka_upakovka_za_1_ed_RUB)</v>
      </c>
    </row>
    <row r="28" spans="6:21" x14ac:dyDescent="0.25">
      <c r="F28" t="s">
        <v>79</v>
      </c>
      <c r="G28" t="str">
        <f>[1]!Translit(F28)</f>
        <v>Aviadostavka_strakhovka_upakovka_za_partiu_RUB</v>
      </c>
      <c r="H28" t="s">
        <v>85</v>
      </c>
      <c r="L28" t="str">
        <f t="shared" si="0"/>
        <v>col_Aviadostavka_strakhovka_upakovka_za_partiu_RUB</v>
      </c>
      <c r="Q28" t="s">
        <v>86</v>
      </c>
      <c r="S28" t="s">
        <v>87</v>
      </c>
      <c r="U28" t="str">
        <f t="shared" si="1"/>
        <v>Cells(iLastRow, col_Aviadostavka_strakhovka_upakovka_za_partiu_RUB)</v>
      </c>
    </row>
    <row r="29" spans="6:21" x14ac:dyDescent="0.25">
      <c r="F29" t="s">
        <v>80</v>
      </c>
      <c r="G29" t="str">
        <f>[1]!Translit(F29)</f>
        <v>Komissiya_kitaitsa_za_1_ed_RUB</v>
      </c>
      <c r="H29" t="s">
        <v>85</v>
      </c>
      <c r="L29" t="str">
        <f t="shared" si="0"/>
        <v>col_Komissiya_kitaitsa_za_1_ed_RUB</v>
      </c>
      <c r="Q29" t="s">
        <v>86</v>
      </c>
      <c r="S29" t="s">
        <v>87</v>
      </c>
      <c r="U29" t="str">
        <f t="shared" si="1"/>
        <v>Cells(iLastRow, col_Komissiya_kitaitsa_za_1_ed_RUB)</v>
      </c>
    </row>
    <row r="30" spans="6:21" x14ac:dyDescent="0.25">
      <c r="F30" t="s">
        <v>81</v>
      </c>
      <c r="G30" t="str">
        <f>[1]!Translit(F30)</f>
        <v>Komissiya_kitaitsa_za_partiu_RUB</v>
      </c>
      <c r="H30" t="s">
        <v>85</v>
      </c>
      <c r="L30" t="str">
        <f t="shared" si="0"/>
        <v>col_Komissiya_kitaitsa_za_partiu_RUB</v>
      </c>
      <c r="Q30" t="s">
        <v>86</v>
      </c>
      <c r="S30" t="s">
        <v>87</v>
      </c>
      <c r="U30" t="str">
        <f t="shared" si="1"/>
        <v>Cells(iLastRow, col_Komissiya_kitaitsa_za_partiu_RUB)</v>
      </c>
    </row>
    <row r="31" spans="6:21" x14ac:dyDescent="0.25">
      <c r="F31" t="s">
        <v>82</v>
      </c>
      <c r="G31" t="str">
        <f>[1]!Translit(F31)</f>
        <v>Upakovka_fotograf_prochie_raskhody_za_1_ed_RUB</v>
      </c>
      <c r="H31" t="s">
        <v>85</v>
      </c>
      <c r="L31" t="str">
        <f t="shared" si="0"/>
        <v>col_Upakovka_fotograf_prochie_raskhody_za_1_ed_RUB</v>
      </c>
      <c r="Q31" t="s">
        <v>86</v>
      </c>
      <c r="S31" t="s">
        <v>87</v>
      </c>
      <c r="U31" t="str">
        <f t="shared" si="1"/>
        <v>Cells(iLastRow, col_Upakovka_fotograf_prochie_raskhody_za_1_ed_RUB)</v>
      </c>
    </row>
    <row r="32" spans="6:21" x14ac:dyDescent="0.25">
      <c r="F32" t="s">
        <v>83</v>
      </c>
      <c r="G32" t="str">
        <f>[1]!Translit(F32)</f>
        <v>Upakovka_fotograf_prochie_raskhody_za_partiu_RUB</v>
      </c>
      <c r="H32" t="s">
        <v>85</v>
      </c>
      <c r="L32" t="str">
        <f t="shared" si="0"/>
        <v>col_Upakovka_fotograf_prochie_raskhody_za_partiu_RUB</v>
      </c>
      <c r="Q32" t="s">
        <v>86</v>
      </c>
      <c r="S32" t="s">
        <v>87</v>
      </c>
      <c r="U32" t="str">
        <f t="shared" si="1"/>
        <v>Cells(iLastRow, col_Upakovka_fotograf_prochie_raskhody_za_partiu_RUB)</v>
      </c>
    </row>
    <row r="33" spans="6:21" x14ac:dyDescent="0.25">
      <c r="F33" t="s">
        <v>84</v>
      </c>
      <c r="G33" t="str">
        <f>[1]!Translit(F33)</f>
        <v>Dostavka_po_moskve_za_1_ed_RUB</v>
      </c>
      <c r="H33" t="s">
        <v>85</v>
      </c>
      <c r="L33" t="str">
        <f t="shared" si="0"/>
        <v>col_Dostavka_po_moskve_za_1_ed_RUB</v>
      </c>
      <c r="Q33" t="s">
        <v>86</v>
      </c>
      <c r="S33" t="s">
        <v>87</v>
      </c>
      <c r="U33" t="str">
        <f t="shared" si="1"/>
        <v>Cells(iLastRow, col_Dostavka_po_moskve_za_1_ed_RUB)</v>
      </c>
    </row>
    <row r="34" spans="6:21" x14ac:dyDescent="0.25">
      <c r="F34" t="s">
        <v>61</v>
      </c>
      <c r="G34" t="str">
        <f>[1]!Translit(F34)</f>
        <v>Sebestoimost_1_tovara_RUB</v>
      </c>
      <c r="H34" t="s">
        <v>85</v>
      </c>
      <c r="L34" t="str">
        <f t="shared" si="0"/>
        <v>col_Sebestoimost_1_tovara_RUB</v>
      </c>
      <c r="Q34" t="s">
        <v>86</v>
      </c>
      <c r="S34" t="s">
        <v>87</v>
      </c>
      <c r="U34" t="str">
        <f t="shared" si="1"/>
        <v>Cells(iLastRow, col_Sebestoimost_1_tovara_RUB)</v>
      </c>
    </row>
    <row r="35" spans="6:21" x14ac:dyDescent="0.25">
      <c r="F35" t="s">
        <v>62</v>
      </c>
      <c r="G35" t="str">
        <f>[1]!Translit(F35)</f>
        <v>Sebestoimost_partii_tovara_RUB</v>
      </c>
      <c r="H35" t="s">
        <v>85</v>
      </c>
      <c r="L35" t="str">
        <f t="shared" si="0"/>
        <v>col_Sebestoimost_partii_tovara_RUB</v>
      </c>
      <c r="Q35" t="s">
        <v>86</v>
      </c>
      <c r="S35" t="s">
        <v>87</v>
      </c>
      <c r="U35" t="str">
        <f t="shared" si="1"/>
        <v>Cells(iLastRow, col_Sebestoimost_partii_tovara_RUB)</v>
      </c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>
    <tabColor rgb="FFFF0000"/>
  </sheetPr>
  <dimension ref="A1:C10"/>
  <sheetViews>
    <sheetView workbookViewId="0">
      <selection activeCell="C9" sqref="C9"/>
    </sheetView>
  </sheetViews>
  <sheetFormatPr defaultRowHeight="13.2" x14ac:dyDescent="0.25"/>
  <cols>
    <col min="1" max="1" width="21.77734375" customWidth="1"/>
    <col min="2" max="2" width="10.109375" style="25" customWidth="1"/>
    <col min="3" max="3" width="33.33203125" customWidth="1"/>
  </cols>
  <sheetData>
    <row r="1" spans="1:3" x14ac:dyDescent="0.25">
      <c r="A1" s="22" t="s">
        <v>13</v>
      </c>
      <c r="B1" s="24"/>
      <c r="C1" s="22" t="s">
        <v>14</v>
      </c>
    </row>
    <row r="2" spans="1:3" x14ac:dyDescent="0.25">
      <c r="A2" t="s">
        <v>18</v>
      </c>
      <c r="C2" t="s">
        <v>15</v>
      </c>
    </row>
    <row r="3" spans="1:3" x14ac:dyDescent="0.25">
      <c r="A3" t="s">
        <v>19</v>
      </c>
      <c r="C3" t="s">
        <v>16</v>
      </c>
    </row>
    <row r="4" spans="1:3" x14ac:dyDescent="0.25">
      <c r="A4" t="s">
        <v>20</v>
      </c>
      <c r="C4" t="s">
        <v>17</v>
      </c>
    </row>
    <row r="5" spans="1:3" x14ac:dyDescent="0.25">
      <c r="C5" t="s">
        <v>37</v>
      </c>
    </row>
    <row r="6" spans="1:3" x14ac:dyDescent="0.25">
      <c r="C6" t="s">
        <v>38</v>
      </c>
    </row>
    <row r="10" spans="1:3" hidden="1" x14ac:dyDescent="0.25"/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MYTab" label="Blotter" insertBeforeMso="TabHome">
        <group id="group1" label="Trades">
          <button id="customButton1" label="Новая поставка" size="large" onAction="Start" imageMso="GroupPivotTableActiveFieldAccess"/>
          <button id="customButton2" label="Удалить поставку" size="large" onAction="dalete_trade" imageMso="ChangeResponseButtonMenu"/>
          <button id="customButton3" label="Загрузить данные с OZON" size="large" onAction="open_file" imageMso="ListToolSaveAndPublish"/>
          <button id="customButton4" label="Провести квитовку" size="large" onAction="Send_mail" imageMso="MailMergeStartEnvelopes"/>
        </group>
        <group id="group2" label="Settings">
          <button id="customButton5" label="Clear all" size="large" onAction="clear_content" imageMso="CatalogMergeExcludeSelectedRecor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Blotter</vt:lpstr>
      <vt:lpstr>Static</vt:lpstr>
      <vt:lpstr>Settings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Queen</dc:creator>
  <cp:lastModifiedBy>B K</cp:lastModifiedBy>
  <cp:lastPrinted>2015-09-08T20:17:13Z</cp:lastPrinted>
  <dcterms:created xsi:type="dcterms:W3CDTF">2008-03-31T20:08:27Z</dcterms:created>
  <dcterms:modified xsi:type="dcterms:W3CDTF">2022-11-15T15:13:25Z</dcterms:modified>
</cp:coreProperties>
</file>